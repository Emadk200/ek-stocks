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qawwas\Downloads\EK-PR-App\stocks\EK-stocks-dashboard\"/>
    </mc:Choice>
  </mc:AlternateContent>
  <bookViews>
    <workbookView xWindow="0" yWindow="0" windowWidth="19140" windowHeight="5730"/>
  </bookViews>
  <sheets>
    <sheet name="EKstoks" sheetId="2" r:id="rId1"/>
  </sheets>
  <externalReferences>
    <externalReference r:id="rId2"/>
    <externalReference r:id="rId3"/>
  </externalReferences>
  <definedNames>
    <definedName name="AllStocks">'[1]قائمة جميع الاسهم'!$A$2:$D$100</definedName>
    <definedName name="asetable">#REF!</definedName>
    <definedName name="LiveData">#REF!</definedName>
    <definedName name="ShareCodeNumber">'[2]All Shares'!$A$332:$G$493</definedName>
    <definedName name="StockCode">#REF!</definedName>
    <definedName name="StockRef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2" l="1"/>
  <c r="P23" i="2" l="1"/>
  <c r="I23" i="2"/>
  <c r="G13" i="2" l="1"/>
  <c r="G18" i="2"/>
  <c r="G19" i="2"/>
  <c r="G20" i="2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F14" i="2"/>
  <c r="G14" i="2" s="1"/>
  <c r="F15" i="2"/>
  <c r="G15" i="2" s="1"/>
  <c r="F16" i="2"/>
  <c r="G16" i="2" s="1"/>
  <c r="F17" i="2"/>
  <c r="G17" i="2" s="1"/>
  <c r="F18" i="2"/>
  <c r="F19" i="2"/>
  <c r="F20" i="2"/>
  <c r="F21" i="2"/>
  <c r="G21" i="2" s="1"/>
  <c r="F22" i="2"/>
  <c r="G22" i="2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" i="2"/>
  <c r="R23" i="2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H3" i="2"/>
  <c r="J3" i="2" s="1"/>
  <c r="H4" i="2"/>
  <c r="J4" i="2" s="1"/>
  <c r="H5" i="2"/>
  <c r="N5" i="2" s="1"/>
  <c r="O5" i="2" s="1"/>
  <c r="H6" i="2"/>
  <c r="N6" i="2" s="1"/>
  <c r="O6" i="2" s="1"/>
  <c r="H7" i="2"/>
  <c r="N7" i="2" s="1"/>
  <c r="O7" i="2" s="1"/>
  <c r="H8" i="2"/>
  <c r="N8" i="2" s="1"/>
  <c r="O8" i="2" s="1"/>
  <c r="H9" i="2"/>
  <c r="N9" i="2" s="1"/>
  <c r="O9" i="2" s="1"/>
  <c r="H10" i="2"/>
  <c r="N10" i="2" s="1"/>
  <c r="O10" i="2" s="1"/>
  <c r="H11" i="2"/>
  <c r="N11" i="2" s="1"/>
  <c r="O11" i="2" s="1"/>
  <c r="H12" i="2"/>
  <c r="N12" i="2" s="1"/>
  <c r="O12" i="2" s="1"/>
  <c r="H13" i="2"/>
  <c r="N13" i="2" s="1"/>
  <c r="O13" i="2" s="1"/>
  <c r="H14" i="2"/>
  <c r="J14" i="2" s="1"/>
  <c r="H15" i="2"/>
  <c r="J15" i="2" s="1"/>
  <c r="H16" i="2"/>
  <c r="J16" i="2" s="1"/>
  <c r="H17" i="2"/>
  <c r="N17" i="2" s="1"/>
  <c r="O17" i="2" s="1"/>
  <c r="H18" i="2"/>
  <c r="N18" i="2" s="1"/>
  <c r="O18" i="2" s="1"/>
  <c r="H19" i="2"/>
  <c r="N19" i="2" s="1"/>
  <c r="O19" i="2" s="1"/>
  <c r="H20" i="2"/>
  <c r="N20" i="2" s="1"/>
  <c r="O20" i="2" s="1"/>
  <c r="H21" i="2"/>
  <c r="N21" i="2" s="1"/>
  <c r="O21" i="2" s="1"/>
  <c r="H22" i="2"/>
  <c r="N22" i="2" s="1"/>
  <c r="O22" i="2" s="1"/>
  <c r="H2" i="2"/>
  <c r="N2" i="2" s="1"/>
  <c r="O2" i="2" s="1"/>
  <c r="F2" i="2"/>
  <c r="G2" i="2" s="1"/>
  <c r="J17" i="2" l="1"/>
  <c r="J18" i="2"/>
  <c r="M18" i="2" s="1"/>
  <c r="M14" i="2"/>
  <c r="J19" i="2"/>
  <c r="M19" i="2" s="1"/>
  <c r="J13" i="2"/>
  <c r="M13" i="2" s="1"/>
  <c r="M17" i="2"/>
  <c r="J12" i="2"/>
  <c r="M12" i="2" s="1"/>
  <c r="J6" i="2"/>
  <c r="M6" i="2" s="1"/>
  <c r="J8" i="2"/>
  <c r="M8" i="2" s="1"/>
  <c r="J7" i="2"/>
  <c r="M7" i="2" s="1"/>
  <c r="J5" i="2"/>
  <c r="M5" i="2" s="1"/>
  <c r="M16" i="2"/>
  <c r="M4" i="2"/>
  <c r="M15" i="2"/>
  <c r="M3" i="2"/>
  <c r="J20" i="2"/>
  <c r="M20" i="2" s="1"/>
  <c r="N16" i="2"/>
  <c r="O16" i="2" s="1"/>
  <c r="N4" i="2"/>
  <c r="O4" i="2" s="1"/>
  <c r="N15" i="2"/>
  <c r="O15" i="2" s="1"/>
  <c r="N3" i="2"/>
  <c r="O3" i="2" s="1"/>
  <c r="J2" i="2"/>
  <c r="M2" i="2" s="1"/>
  <c r="J11" i="2"/>
  <c r="M11" i="2" s="1"/>
  <c r="N14" i="2"/>
  <c r="O14" i="2" s="1"/>
  <c r="J22" i="2"/>
  <c r="M22" i="2" s="1"/>
  <c r="J10" i="2"/>
  <c r="M10" i="2" s="1"/>
  <c r="J21" i="2"/>
  <c r="M21" i="2" s="1"/>
  <c r="J9" i="2"/>
  <c r="M9" i="2" s="1"/>
</calcChain>
</file>

<file path=xl/sharedStrings.xml><?xml version="1.0" encoding="utf-8"?>
<sst xmlns="http://schemas.openxmlformats.org/spreadsheetml/2006/main" count="51" uniqueCount="42">
  <si>
    <t>MBED</t>
  </si>
  <si>
    <t>MANE</t>
  </si>
  <si>
    <t>JTEL</t>
  </si>
  <si>
    <t>JOEP</t>
  </si>
  <si>
    <t>JOPH</t>
  </si>
  <si>
    <t>JOIB</t>
  </si>
  <si>
    <t>P/E * P/B.V.</t>
  </si>
  <si>
    <t>L.P /G.N</t>
  </si>
  <si>
    <t>ICAG</t>
  </si>
  <si>
    <t>TIIC</t>
  </si>
  <si>
    <t>HPIC</t>
  </si>
  <si>
    <t>OFTC</t>
  </si>
  <si>
    <t>DADI</t>
  </si>
  <si>
    <t>JOPT</t>
  </si>
  <si>
    <t>FINS</t>
  </si>
  <si>
    <t>PHIL</t>
  </si>
  <si>
    <t>UMIC</t>
  </si>
  <si>
    <t>SHIP</t>
  </si>
  <si>
    <t>IDMC</t>
  </si>
  <si>
    <t>N.A</t>
  </si>
  <si>
    <t>UCIC</t>
  </si>
  <si>
    <t>TAJM</t>
  </si>
  <si>
    <t>MSFT</t>
  </si>
  <si>
    <t>PROF</t>
  </si>
  <si>
    <t>Graham No</t>
  </si>
  <si>
    <t>Average % 5Y</t>
  </si>
  <si>
    <t>Tot/Avg</t>
  </si>
  <si>
    <t>Symbol</t>
  </si>
  <si>
    <t>Average% 5Y</t>
  </si>
  <si>
    <t>Cash Div% 24</t>
  </si>
  <si>
    <t>Stock Yeild% 2024</t>
  </si>
  <si>
    <t>Last  Price</t>
  </si>
  <si>
    <t>ASE Code</t>
  </si>
  <si>
    <t>EPS 2024 Q3</t>
  </si>
  <si>
    <t>EPS 2025 Q3</t>
  </si>
  <si>
    <t>Change</t>
  </si>
  <si>
    <t>Change %</t>
  </si>
  <si>
    <t>EPS Forecast 2025</t>
  </si>
  <si>
    <t>Dividend Yield</t>
  </si>
  <si>
    <t>PE Ratio</t>
  </si>
  <si>
    <t>Fair Price Q3 2025</t>
  </si>
  <si>
    <t>PB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</si>
</sst>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0.000"/>
    <numFmt numFmtId="166" formatCode="#,##0.000"/>
    <numFmt numFmtId="167" formatCode="#,##0.000_);[Red]\ \-#,##0.000"/>
    <numFmt numFmtId="168" formatCode="0.00%;[Red]\-0.00%"/>
    <numFmt numFmtId="169" formatCode="[$-14C09]dd/mm/yyyy;@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2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2" fontId="0" fillId="0" borderId="1" xfId="0" applyNumberFormat="1" applyBorder="1"/>
    <xf numFmtId="164" fontId="0" fillId="0" borderId="1" xfId="1" applyNumberFormat="1" applyFont="1" applyBorder="1"/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6" fillId="0" borderId="0" xfId="0" applyNumberFormat="1" applyFont="1"/>
    <xf numFmtId="0" fontId="6" fillId="0" borderId="0" xfId="0" applyFont="1"/>
    <xf numFmtId="14" fontId="3" fillId="0" borderId="0" xfId="0" applyNumberFormat="1" applyFont="1" applyFill="1" applyBorder="1"/>
    <xf numFmtId="0" fontId="4" fillId="0" borderId="1" xfId="0" applyFont="1" applyBorder="1" applyAlignment="1">
      <alignment horizontal="center"/>
    </xf>
    <xf numFmtId="14" fontId="3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/>
    <xf numFmtId="4" fontId="0" fillId="2" borderId="1" xfId="0" applyNumberForma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9" fontId="0" fillId="0" borderId="0" xfId="0" applyNumberFormat="1"/>
    <xf numFmtId="9" fontId="0" fillId="0" borderId="1" xfId="1" applyNumberFormat="1" applyFont="1" applyBorder="1"/>
    <xf numFmtId="0" fontId="0" fillId="0" borderId="1" xfId="0" applyBorder="1" applyAlignment="1">
      <alignment horizontal="left"/>
    </xf>
    <xf numFmtId="0" fontId="0" fillId="3" borderId="0" xfId="0" applyFill="1"/>
    <xf numFmtId="0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rakat/Documents/Ahmed/Stocks/Amman%20Stock%20Market%20-%20Selec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qawwas/Downloads/ASE%20-%20Live%20Data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اسهم المختارة"/>
      <sheetName val="Sheet1"/>
      <sheetName val="Sheet3"/>
      <sheetName val="قائمة جميع الاسهم"/>
      <sheetName val="قائمة جميع الاسهم1"/>
    </sheetNames>
    <sheetDataSet>
      <sheetData sheetId="0"/>
      <sheetData sheetId="1"/>
      <sheetData sheetId="2"/>
      <sheetData sheetId="3">
        <row r="2">
          <cell r="A2" t="str">
            <v>AAIN</v>
          </cell>
          <cell r="B2">
            <v>121003</v>
          </cell>
          <cell r="C2" t="str">
            <v>النسر العربي للتأمين</v>
          </cell>
          <cell r="D2" t="str">
            <v>التأمين</v>
          </cell>
        </row>
        <row r="3">
          <cell r="A3" t="str">
            <v>AALU</v>
          </cell>
          <cell r="B3">
            <v>141006</v>
          </cell>
          <cell r="C3" t="str">
            <v>الألمنيوم/آرال</v>
          </cell>
          <cell r="D3" t="str">
            <v>الصناعات الاستخراجية والتعدينية</v>
          </cell>
        </row>
        <row r="4">
          <cell r="A4" t="str">
            <v>ABCO</v>
          </cell>
          <cell r="B4">
            <v>111009</v>
          </cell>
          <cell r="C4" t="str">
            <v>بنك المؤسسة العربية</v>
          </cell>
          <cell r="D4" t="str">
            <v>البنوك</v>
          </cell>
        </row>
        <row r="5">
          <cell r="A5" t="str">
            <v>ABUS</v>
          </cell>
          <cell r="B5">
            <v>131256</v>
          </cell>
          <cell r="C5" t="str">
            <v>المتكاملة للنقل</v>
          </cell>
          <cell r="D5" t="str">
            <v>النقل</v>
          </cell>
        </row>
        <row r="6">
          <cell r="A6" t="str">
            <v>ACDT</v>
          </cell>
          <cell r="B6">
            <v>141010</v>
          </cell>
          <cell r="C6" t="str">
            <v>المتصدرة</v>
          </cell>
          <cell r="D6" t="str">
            <v>الصناعات الكيماوية</v>
          </cell>
        </row>
        <row r="7">
          <cell r="A7" t="str">
            <v>AEIV</v>
          </cell>
          <cell r="B7">
            <v>131082</v>
          </cell>
          <cell r="C7" t="str">
            <v>شرق عربي للاستثمارات</v>
          </cell>
          <cell r="D7" t="str">
            <v>الخدمات المالية المتنوعة</v>
          </cell>
        </row>
        <row r="8">
          <cell r="A8" t="str">
            <v>AHLI</v>
          </cell>
          <cell r="B8">
            <v>111033</v>
          </cell>
          <cell r="C8" t="str">
            <v>البنك الاهلي</v>
          </cell>
          <cell r="D8" t="str">
            <v>البنوك</v>
          </cell>
        </row>
        <row r="9">
          <cell r="A9" t="str">
            <v>AIEI</v>
          </cell>
          <cell r="B9">
            <v>131052</v>
          </cell>
          <cell r="C9" t="str">
            <v>الدولية للتعليم</v>
          </cell>
          <cell r="D9" t="str">
            <v>الخدمات التعليمية</v>
          </cell>
        </row>
        <row r="10">
          <cell r="A10" t="str">
            <v>AIHO</v>
          </cell>
          <cell r="B10">
            <v>131005</v>
          </cell>
          <cell r="C10" t="str">
            <v>العربية الدولية للفنادق</v>
          </cell>
          <cell r="D10" t="str">
            <v>الفنادق و السياحة</v>
          </cell>
        </row>
        <row r="11">
          <cell r="A11" t="str">
            <v>AJIB</v>
          </cell>
          <cell r="B11">
            <v>111005</v>
          </cell>
          <cell r="C11" t="str">
            <v>بنك الاستثمار العربي</v>
          </cell>
          <cell r="D11" t="str">
            <v>البنوك</v>
          </cell>
        </row>
        <row r="12">
          <cell r="A12" t="str">
            <v>AMMI</v>
          </cell>
          <cell r="B12">
            <v>121023</v>
          </cell>
          <cell r="C12" t="str">
            <v>العربية الأوروبية</v>
          </cell>
          <cell r="D12" t="str">
            <v>التأمين</v>
          </cell>
        </row>
        <row r="13">
          <cell r="A13" t="str">
            <v>AMON</v>
          </cell>
          <cell r="B13">
            <v>131285</v>
          </cell>
          <cell r="C13" t="str">
            <v>عمون الدولية للاستثمار</v>
          </cell>
          <cell r="D13" t="str">
            <v>الخدمات المالية المتنوعة</v>
          </cell>
        </row>
        <row r="14">
          <cell r="A14" t="str">
            <v>APOT</v>
          </cell>
          <cell r="B14">
            <v>141043</v>
          </cell>
          <cell r="C14" t="str">
            <v>البوتاس العربية</v>
          </cell>
          <cell r="D14" t="str">
            <v>الصناعات الاستخراجية والتعدينية</v>
          </cell>
        </row>
        <row r="15">
          <cell r="A15" t="str">
            <v>AQRM</v>
          </cell>
          <cell r="B15">
            <v>141208</v>
          </cell>
          <cell r="C15" t="str">
            <v>القدس الخرسانية</v>
          </cell>
          <cell r="D15" t="str">
            <v>الصناعات الهندسية و الانشائية</v>
          </cell>
        </row>
        <row r="16">
          <cell r="A16" t="str">
            <v>ARBK</v>
          </cell>
          <cell r="B16">
            <v>113023</v>
          </cell>
          <cell r="C16" t="str">
            <v>البنك العربي</v>
          </cell>
          <cell r="D16" t="str">
            <v>البنوك</v>
          </cell>
        </row>
        <row r="17">
          <cell r="A17" t="str">
            <v>ASAS</v>
          </cell>
          <cell r="B17">
            <v>141214</v>
          </cell>
          <cell r="C17" t="str">
            <v>الأساس</v>
          </cell>
          <cell r="D17" t="str">
            <v>الصناعات الهندسية و الانشائية</v>
          </cell>
        </row>
        <row r="18">
          <cell r="A18" t="str">
            <v>ATCO</v>
          </cell>
          <cell r="B18">
            <v>141058</v>
          </cell>
          <cell r="C18" t="str">
            <v>انجاز</v>
          </cell>
          <cell r="D18" t="str">
            <v>الخدمات التجارية</v>
          </cell>
        </row>
        <row r="19">
          <cell r="A19" t="str">
            <v>ATTA</v>
          </cell>
          <cell r="B19">
            <v>141036</v>
          </cell>
          <cell r="C19" t="str">
            <v>المتكاملة لتطوير الاراضي والاستثمار</v>
          </cell>
          <cell r="D19" t="str">
            <v>الخدمات المالية المتنوعة</v>
          </cell>
        </row>
        <row r="20">
          <cell r="A20" t="str">
            <v>BOJX</v>
          </cell>
          <cell r="B20">
            <v>111022</v>
          </cell>
          <cell r="C20" t="str">
            <v>بنك الاردن</v>
          </cell>
          <cell r="D20" t="str">
            <v>البنوك</v>
          </cell>
        </row>
        <row r="21">
          <cell r="A21" t="str">
            <v>CABK</v>
          </cell>
          <cell r="B21">
            <v>111021</v>
          </cell>
          <cell r="C21" t="str">
            <v>بنك القاهرة عمان</v>
          </cell>
          <cell r="D21" t="str">
            <v>البنوك</v>
          </cell>
        </row>
        <row r="22">
          <cell r="A22" t="str">
            <v>CAPL</v>
          </cell>
          <cell r="B22">
            <v>111017</v>
          </cell>
          <cell r="C22" t="str">
            <v>بنك المال</v>
          </cell>
          <cell r="D22" t="str">
            <v>البنوك</v>
          </cell>
        </row>
        <row r="23">
          <cell r="A23" t="str">
            <v>CEBC</v>
          </cell>
          <cell r="B23">
            <v>131232</v>
          </cell>
          <cell r="C23" t="str">
            <v>الفارس الوطنية</v>
          </cell>
          <cell r="D23" t="str">
            <v>التكنولوجيا و الإتصالات</v>
          </cell>
        </row>
        <row r="24">
          <cell r="A24" t="str">
            <v>CEIG</v>
          </cell>
          <cell r="B24">
            <v>131097</v>
          </cell>
          <cell r="C24" t="str">
            <v>العصر للاستثمار</v>
          </cell>
          <cell r="D24" t="str">
            <v>الخدمات المالية المتنوعة</v>
          </cell>
        </row>
        <row r="25">
          <cell r="A25" t="str">
            <v>CICO</v>
          </cell>
          <cell r="B25">
            <v>131207</v>
          </cell>
          <cell r="C25" t="str">
            <v>المجموعة الاستشارية</v>
          </cell>
          <cell r="D25" t="str">
            <v>الخدمات الصحية</v>
          </cell>
        </row>
        <row r="26">
          <cell r="A26" t="str">
            <v>COHO</v>
          </cell>
          <cell r="B26">
            <v>131241</v>
          </cell>
          <cell r="C26" t="str">
            <v>المعاصرون</v>
          </cell>
          <cell r="D26" t="str">
            <v>الخدمات المالية المتنوعة</v>
          </cell>
        </row>
        <row r="27">
          <cell r="A27" t="str">
            <v>DADI</v>
          </cell>
          <cell r="B27">
            <v>141012</v>
          </cell>
          <cell r="C27" t="str">
            <v>دار الدواء</v>
          </cell>
          <cell r="D27" t="str">
            <v>الأدوية و الصناعات الطبية</v>
          </cell>
        </row>
        <row r="28">
          <cell r="A28" t="str">
            <v>DERA</v>
          </cell>
          <cell r="B28">
            <v>131255</v>
          </cell>
          <cell r="C28" t="str">
            <v>ديرة</v>
          </cell>
          <cell r="D28" t="str">
            <v>الخدمات المالية المتنوعة</v>
          </cell>
        </row>
        <row r="29">
          <cell r="A29" t="str">
            <v>DMAN</v>
          </cell>
          <cell r="B29">
            <v>131065</v>
          </cell>
          <cell r="C29" t="str">
            <v>الضمان للاستثمار</v>
          </cell>
          <cell r="D29" t="str">
            <v>الخدمات المالية المتنوعة</v>
          </cell>
        </row>
        <row r="30">
          <cell r="A30" t="str">
            <v>ENTK</v>
          </cell>
          <cell r="B30">
            <v>131287</v>
          </cell>
          <cell r="C30" t="str">
            <v>الانتقائية</v>
          </cell>
          <cell r="D30" t="str">
            <v>الخدمات المالية المتنوعة</v>
          </cell>
        </row>
        <row r="31">
          <cell r="A31" t="str">
            <v>FFCO</v>
          </cell>
          <cell r="B31">
            <v>131251</v>
          </cell>
          <cell r="C31" t="str">
            <v>الأولى للتمويل</v>
          </cell>
          <cell r="D31" t="str">
            <v>الخدمات المالية المتنوعة</v>
          </cell>
        </row>
        <row r="32">
          <cell r="A32" t="str">
            <v>FRST</v>
          </cell>
          <cell r="B32">
            <v>131269</v>
          </cell>
          <cell r="C32" t="str">
            <v>الأردن الأولى</v>
          </cell>
          <cell r="D32" t="str">
            <v>الخدمات المالية المتنوعة</v>
          </cell>
        </row>
        <row r="33">
          <cell r="A33" t="str">
            <v>FUTR</v>
          </cell>
          <cell r="B33">
            <v>131258</v>
          </cell>
          <cell r="C33" t="str">
            <v>المستقبل العربية</v>
          </cell>
          <cell r="D33" t="str">
            <v>الخدمات المالية المتنوعة</v>
          </cell>
        </row>
        <row r="34">
          <cell r="A34" t="str">
            <v>GIGJ</v>
          </cell>
          <cell r="B34">
            <v>121014</v>
          </cell>
          <cell r="C34" t="str">
            <v>مجموعة الخليج للتأمين - الأردن</v>
          </cell>
          <cell r="D34" t="str">
            <v>التأمين</v>
          </cell>
        </row>
        <row r="35">
          <cell r="A35" t="str">
            <v>HIPR</v>
          </cell>
          <cell r="B35">
            <v>131246</v>
          </cell>
          <cell r="C35" t="str">
            <v>الكفاءة</v>
          </cell>
          <cell r="D35" t="str">
            <v>الخدمات المالية المتنوعة</v>
          </cell>
        </row>
        <row r="36">
          <cell r="A36" t="str">
            <v>HPIC</v>
          </cell>
          <cell r="B36">
            <v>141210</v>
          </cell>
          <cell r="C36" t="str">
            <v>الحياة الدوائية</v>
          </cell>
          <cell r="D36" t="str">
            <v>الأدوية و الصناعات الطبية</v>
          </cell>
        </row>
        <row r="37">
          <cell r="A37" t="str">
            <v>IBNH</v>
          </cell>
          <cell r="B37">
            <v>131279</v>
          </cell>
          <cell r="C37" t="str">
            <v>مستشفى ابن الهيثم</v>
          </cell>
          <cell r="D37" t="str">
            <v>الخدمات الصحية</v>
          </cell>
        </row>
        <row r="38">
          <cell r="A38" t="str">
            <v>ICAG</v>
          </cell>
          <cell r="B38">
            <v>141009</v>
          </cell>
          <cell r="C38" t="str">
            <v>الانتاج</v>
          </cell>
          <cell r="D38" t="str">
            <v>الصناعات الكيماوية</v>
          </cell>
        </row>
        <row r="39">
          <cell r="A39" t="str">
            <v>IDMC</v>
          </cell>
          <cell r="B39">
            <v>141106</v>
          </cell>
          <cell r="C39" t="str">
            <v>مجمع الضليل</v>
          </cell>
          <cell r="D39" t="str">
            <v>الخدمات المالية المتنوعة</v>
          </cell>
        </row>
        <row r="40">
          <cell r="A40" t="str">
            <v>IHCO</v>
          </cell>
          <cell r="B40">
            <v>131236</v>
          </cell>
          <cell r="C40" t="str">
            <v>الإحداثيات العقارية</v>
          </cell>
          <cell r="D40" t="str">
            <v>الخدمات المالية المتنوعة</v>
          </cell>
        </row>
        <row r="41">
          <cell r="A41" t="str">
            <v>INMA</v>
          </cell>
          <cell r="B41">
            <v>131225</v>
          </cell>
          <cell r="C41" t="str">
            <v>الانماء العربية</v>
          </cell>
          <cell r="D41" t="str">
            <v>الخدمات المالية المتنوعة</v>
          </cell>
        </row>
        <row r="42">
          <cell r="A42" t="str">
            <v>INVB</v>
          </cell>
          <cell r="B42">
            <v>111014</v>
          </cell>
          <cell r="C42" t="str">
            <v>البنك الاستثماري</v>
          </cell>
          <cell r="D42" t="str">
            <v>البنوك</v>
          </cell>
        </row>
        <row r="43">
          <cell r="A43" t="str">
            <v>IREL</v>
          </cell>
          <cell r="B43">
            <v>131010</v>
          </cell>
          <cell r="C43" t="str">
            <v>كهرباء اربد</v>
          </cell>
          <cell r="D43" t="str">
            <v>الطاقة و المنافع</v>
          </cell>
        </row>
        <row r="44">
          <cell r="A44" t="str">
            <v>JCBK</v>
          </cell>
          <cell r="B44">
            <v>111003</v>
          </cell>
          <cell r="C44" t="str">
            <v>البنك التجاري الأردني</v>
          </cell>
          <cell r="D44" t="str">
            <v>البنوك</v>
          </cell>
        </row>
        <row r="45">
          <cell r="A45" t="str">
            <v>JDPC</v>
          </cell>
          <cell r="B45">
            <v>131017</v>
          </cell>
          <cell r="C45" t="str">
            <v>الأردن ديكابولس للأملاك</v>
          </cell>
          <cell r="D45" t="str">
            <v>الخدمات المالية المتنوعة</v>
          </cell>
        </row>
        <row r="46">
          <cell r="A46" t="str">
            <v>JETT</v>
          </cell>
          <cell r="B46">
            <v>131080</v>
          </cell>
          <cell r="C46" t="str">
            <v>النقليات السياحة/جت</v>
          </cell>
          <cell r="D46" t="str">
            <v>النقل</v>
          </cell>
        </row>
        <row r="47">
          <cell r="A47" t="str">
            <v>JITC</v>
          </cell>
          <cell r="B47">
            <v>131023</v>
          </cell>
          <cell r="C47" t="str">
            <v>المركز الاردني</v>
          </cell>
          <cell r="D47" t="str">
            <v>الخدمات التجارية</v>
          </cell>
        </row>
        <row r="48">
          <cell r="A48" t="str">
            <v>JNTH</v>
          </cell>
          <cell r="B48">
            <v>131076</v>
          </cell>
          <cell r="C48" t="str">
            <v>التجمعات لخدمات التغذية والاسكان</v>
          </cell>
          <cell r="D48" t="str">
            <v>الخدمات المالية المتنوعة</v>
          </cell>
        </row>
        <row r="49">
          <cell r="A49" t="str">
            <v>JODA</v>
          </cell>
          <cell r="B49">
            <v>141004</v>
          </cell>
          <cell r="C49" t="str">
            <v>الآلبان الأردنية</v>
          </cell>
          <cell r="D49" t="str">
            <v>الأغذية و المشروبات</v>
          </cell>
        </row>
        <row r="50">
          <cell r="A50" t="str">
            <v>JOEP</v>
          </cell>
          <cell r="B50">
            <v>131004</v>
          </cell>
          <cell r="C50" t="str">
            <v>الكهرباء الاردنية</v>
          </cell>
          <cell r="D50" t="str">
            <v>الطاقة و المنافع</v>
          </cell>
        </row>
        <row r="51">
          <cell r="A51" t="str">
            <v>JOIB</v>
          </cell>
          <cell r="B51">
            <v>111001</v>
          </cell>
          <cell r="C51" t="str">
            <v>بنك الإسلامي الأردني</v>
          </cell>
          <cell r="D51" t="str">
            <v>البنوك</v>
          </cell>
        </row>
        <row r="52">
          <cell r="A52" t="str">
            <v>JOIN</v>
          </cell>
          <cell r="B52">
            <v>121004</v>
          </cell>
          <cell r="C52" t="str">
            <v>التأمين الاردنية</v>
          </cell>
          <cell r="D52" t="str">
            <v>التأمين</v>
          </cell>
        </row>
        <row r="53">
          <cell r="A53" t="str">
            <v>JOIR</v>
          </cell>
          <cell r="B53">
            <v>141055</v>
          </cell>
          <cell r="C53" t="str">
            <v>الموارد الصناعية</v>
          </cell>
          <cell r="D53" t="str">
            <v>الصناعات الكيماوية</v>
          </cell>
        </row>
        <row r="54">
          <cell r="A54" t="str">
            <v>JOKB</v>
          </cell>
          <cell r="B54">
            <v>111002</v>
          </cell>
          <cell r="C54" t="str">
            <v>الأردني الكويتي</v>
          </cell>
          <cell r="D54" t="str">
            <v>البنوك</v>
          </cell>
        </row>
        <row r="55">
          <cell r="A55" t="str">
            <v>JOPH</v>
          </cell>
          <cell r="B55">
            <v>141018</v>
          </cell>
          <cell r="C55" t="str">
            <v>الفوسفات</v>
          </cell>
          <cell r="D55" t="str">
            <v>الصناعات الاستخراجية والتعدينية</v>
          </cell>
        </row>
        <row r="56">
          <cell r="A56" t="str">
            <v>JOPI</v>
          </cell>
          <cell r="B56">
            <v>141019</v>
          </cell>
          <cell r="C56" t="str">
            <v>الأنابيب الأردنية</v>
          </cell>
          <cell r="D56" t="str">
            <v>الصناعات الهندسية و الانشائية</v>
          </cell>
        </row>
        <row r="57">
          <cell r="A57" t="str">
            <v>JOPT</v>
          </cell>
          <cell r="B57">
            <v>142041</v>
          </cell>
          <cell r="C57" t="str">
            <v>مصفاة الاردن /جوبترول</v>
          </cell>
          <cell r="D57" t="str">
            <v>الطاقة و المنافع</v>
          </cell>
        </row>
        <row r="58">
          <cell r="A58" t="str">
            <v>JOST</v>
          </cell>
          <cell r="B58">
            <v>141070</v>
          </cell>
          <cell r="C58" t="str">
            <v>حديد الأردن</v>
          </cell>
          <cell r="D58" t="str">
            <v>الصناعات الاستخراجية والتعدينية</v>
          </cell>
        </row>
        <row r="59">
          <cell r="A59" t="str">
            <v>JOWM</v>
          </cell>
          <cell r="B59">
            <v>141014</v>
          </cell>
          <cell r="C59" t="str">
            <v>الآجواخ الأردنية</v>
          </cell>
          <cell r="D59" t="str">
            <v>صناعات الملابس و الجلود و النسيج</v>
          </cell>
        </row>
        <row r="60">
          <cell r="A60" t="str">
            <v>JPPC</v>
          </cell>
          <cell r="B60">
            <v>141002</v>
          </cell>
          <cell r="C60" t="str">
            <v>تسويق الدواجن</v>
          </cell>
          <cell r="D60" t="str">
            <v>الأغذية و المشروبات</v>
          </cell>
        </row>
        <row r="61">
          <cell r="A61" t="str">
            <v>JRCD</v>
          </cell>
          <cell r="B61">
            <v>131229</v>
          </cell>
          <cell r="C61" t="str">
            <v>العقارية الأردنية</v>
          </cell>
          <cell r="D61" t="str">
            <v>الخدمات المالية المتنوعة</v>
          </cell>
        </row>
        <row r="62">
          <cell r="A62" t="str">
            <v>JTEL</v>
          </cell>
          <cell r="B62">
            <v>131206</v>
          </cell>
          <cell r="C62" t="str">
            <v>الاتصالات الأردنية</v>
          </cell>
          <cell r="D62" t="str">
            <v>التكنولوجيا و الإتصالات</v>
          </cell>
        </row>
        <row r="63">
          <cell r="A63" t="str">
            <v>KAFA</v>
          </cell>
          <cell r="B63">
            <v>131267</v>
          </cell>
          <cell r="C63" t="str">
            <v>الكفاءة للاستثمارات</v>
          </cell>
          <cell r="D63" t="str">
            <v>الخدمات المالية المتنوعة</v>
          </cell>
        </row>
        <row r="64">
          <cell r="A64" t="str">
            <v>LEIN</v>
          </cell>
          <cell r="B64">
            <v>141015</v>
          </cell>
          <cell r="C64" t="str">
            <v>الطاقات الكامنة</v>
          </cell>
          <cell r="D64" t="str">
            <v>الخدمات المالية المتنوعة</v>
          </cell>
        </row>
        <row r="65">
          <cell r="A65" t="str">
            <v>MALL</v>
          </cell>
          <cell r="B65">
            <v>131098</v>
          </cell>
          <cell r="C65" t="str">
            <v xml:space="preserve"> الدولية للفنادق والاسواق</v>
          </cell>
          <cell r="D65" t="str">
            <v>الفنادق و السياحة</v>
          </cell>
        </row>
        <row r="66">
          <cell r="A66" t="str">
            <v>MANE</v>
          </cell>
          <cell r="B66">
            <v>131286</v>
          </cell>
          <cell r="C66" t="str">
            <v>آفاق للطاقة</v>
          </cell>
          <cell r="D66" t="str">
            <v>الطاقة و المنافع</v>
          </cell>
        </row>
        <row r="67">
          <cell r="A67" t="str">
            <v>MBED</v>
          </cell>
          <cell r="B67">
            <v>141209</v>
          </cell>
          <cell r="C67" t="str">
            <v>العربية للمبيدات</v>
          </cell>
          <cell r="D67" t="str">
            <v>الصناعات الكيماوية</v>
          </cell>
        </row>
        <row r="68">
          <cell r="A68" t="str">
            <v>MHFZ</v>
          </cell>
          <cell r="B68">
            <v>131018</v>
          </cell>
          <cell r="C68" t="str">
            <v>المحفظة الوطنية</v>
          </cell>
          <cell r="D68" t="str">
            <v>الخدمات المالية المتنوعة</v>
          </cell>
        </row>
        <row r="69">
          <cell r="A69" t="str">
            <v>MIIC</v>
          </cell>
          <cell r="B69">
            <v>121013</v>
          </cell>
          <cell r="C69" t="str">
            <v>المنارة الإسلامية</v>
          </cell>
          <cell r="D69" t="str">
            <v>التأمين</v>
          </cell>
        </row>
        <row r="70">
          <cell r="A70" t="str">
            <v>MSFT</v>
          </cell>
          <cell r="B70">
            <v>131243</v>
          </cell>
          <cell r="C70" t="str">
            <v>مسافات للنقل</v>
          </cell>
          <cell r="D70" t="str">
            <v>النقل</v>
          </cell>
        </row>
        <row r="71">
          <cell r="A71" t="str">
            <v>NAST</v>
          </cell>
          <cell r="B71">
            <v>141011</v>
          </cell>
          <cell r="C71" t="str">
            <v>الصلب</v>
          </cell>
          <cell r="D71" t="str">
            <v>الصناعات الاستخراجية والتعدينية</v>
          </cell>
        </row>
        <row r="72">
          <cell r="A72" t="str">
            <v>NATA</v>
          </cell>
          <cell r="B72">
            <v>141091</v>
          </cell>
          <cell r="C72" t="str">
            <v>الوطنية للالمنيوم</v>
          </cell>
          <cell r="D72" t="str">
            <v>الصناعات الاستخراجية والتعدينية</v>
          </cell>
        </row>
        <row r="73">
          <cell r="A73" t="str">
            <v>NCCO</v>
          </cell>
          <cell r="B73">
            <v>141224</v>
          </cell>
          <cell r="C73" t="str">
            <v>الشمالية</v>
          </cell>
          <cell r="D73" t="str">
            <v>الصناعات الاستخراجية والتعدينية</v>
          </cell>
        </row>
        <row r="74">
          <cell r="A74" t="str">
            <v>NCMD</v>
          </cell>
          <cell r="B74">
            <v>131245</v>
          </cell>
          <cell r="C74" t="str">
            <v>نور كابيتال</v>
          </cell>
          <cell r="D74" t="str">
            <v>الخدمات المالية المتنوعة</v>
          </cell>
        </row>
        <row r="75">
          <cell r="A75" t="str">
            <v>NDAR</v>
          </cell>
          <cell r="B75">
            <v>141094</v>
          </cell>
          <cell r="C75" t="str">
            <v>دار الغذاء</v>
          </cell>
          <cell r="D75" t="str">
            <v>الأغذية و المشروبات</v>
          </cell>
        </row>
        <row r="76">
          <cell r="A76" t="str">
            <v>OFTC</v>
          </cell>
          <cell r="B76">
            <v>131228</v>
          </cell>
          <cell r="C76" t="str">
            <v>أوفتك القابضة</v>
          </cell>
          <cell r="D76" t="str">
            <v>الخدمات التجارية</v>
          </cell>
        </row>
        <row r="77">
          <cell r="A77" t="str">
            <v>PHNX</v>
          </cell>
          <cell r="B77">
            <v>131239</v>
          </cell>
          <cell r="C77" t="str">
            <v>فينيكس القابضة</v>
          </cell>
          <cell r="D77" t="str">
            <v>الخدمات المالية المتنوعة</v>
          </cell>
        </row>
        <row r="78">
          <cell r="A78" t="str">
            <v>PROF</v>
          </cell>
          <cell r="B78">
            <v>131270</v>
          </cell>
          <cell r="C78" t="str">
            <v>المهنية</v>
          </cell>
          <cell r="D78" t="str">
            <v>الخدمات المالية المتنوعة</v>
          </cell>
        </row>
        <row r="79">
          <cell r="A79" t="str">
            <v>REDV</v>
          </cell>
          <cell r="B79">
            <v>131087</v>
          </cell>
          <cell r="C79" t="str">
            <v>تطوير العقارات</v>
          </cell>
          <cell r="D79" t="str">
            <v>الخدمات المالية المتنوعة</v>
          </cell>
        </row>
        <row r="80">
          <cell r="A80" t="str">
            <v>RICS</v>
          </cell>
          <cell r="B80">
            <v>131261</v>
          </cell>
          <cell r="C80" t="str">
            <v>الركائز</v>
          </cell>
          <cell r="D80" t="str">
            <v>الفنادق و السياحة</v>
          </cell>
        </row>
        <row r="81">
          <cell r="A81" t="str">
            <v>RMCC</v>
          </cell>
          <cell r="B81">
            <v>141065</v>
          </cell>
          <cell r="C81" t="str">
            <v>الباطون الجاهز</v>
          </cell>
          <cell r="D81" t="str">
            <v>الصناعات الهندسية و الانشائية</v>
          </cell>
        </row>
        <row r="82">
          <cell r="A82" t="str">
            <v>RUMI</v>
          </cell>
          <cell r="B82">
            <v>131289</v>
          </cell>
          <cell r="C82" t="str">
            <v>رم للوساطة</v>
          </cell>
          <cell r="D82" t="str">
            <v>الخدمات المالية المتنوعة</v>
          </cell>
        </row>
        <row r="83">
          <cell r="A83" t="str">
            <v>SALM</v>
          </cell>
          <cell r="B83">
            <v>131260</v>
          </cell>
          <cell r="C83" t="str">
            <v>حدائق بابل</v>
          </cell>
          <cell r="D83" t="str">
            <v>الخدمات المالية المتنوعة</v>
          </cell>
        </row>
        <row r="84">
          <cell r="A84" t="str">
            <v>SANA</v>
          </cell>
          <cell r="B84">
            <v>131249</v>
          </cell>
          <cell r="C84" t="str">
            <v>السنابل الدولية</v>
          </cell>
          <cell r="D84" t="str">
            <v>الخدمات المالية المتنوعة</v>
          </cell>
        </row>
        <row r="85">
          <cell r="A85" t="str">
            <v>SHRA</v>
          </cell>
          <cell r="B85">
            <v>131278</v>
          </cell>
          <cell r="C85" t="str">
            <v>شراع</v>
          </cell>
          <cell r="D85" t="str">
            <v>الخدمات المالية المتنوعة</v>
          </cell>
        </row>
        <row r="86">
          <cell r="A86" t="str">
            <v>SPIC</v>
          </cell>
          <cell r="B86">
            <v>131077</v>
          </cell>
          <cell r="C86" t="str">
            <v>التجمعات الاستثمارية</v>
          </cell>
          <cell r="D86" t="str">
            <v>الخدمات المالية المتنوعة</v>
          </cell>
        </row>
        <row r="87">
          <cell r="A87" t="str">
            <v>SPTI</v>
          </cell>
          <cell r="B87">
            <v>131081</v>
          </cell>
          <cell r="C87" t="str">
            <v>المتخصصة للتجارة</v>
          </cell>
          <cell r="D87" t="str">
            <v>الخدمات التجارية</v>
          </cell>
        </row>
        <row r="88">
          <cell r="A88" t="str">
            <v>SURA</v>
          </cell>
          <cell r="B88">
            <v>131283</v>
          </cell>
          <cell r="C88" t="str">
            <v>سُرى</v>
          </cell>
          <cell r="D88" t="str">
            <v>الفنادق و السياحة</v>
          </cell>
        </row>
        <row r="89">
          <cell r="A89" t="str">
            <v>TAJM</v>
          </cell>
          <cell r="B89">
            <v>131019</v>
          </cell>
          <cell r="C89" t="str">
            <v>التجمعات للمشاريع السياحية</v>
          </cell>
          <cell r="D89" t="str">
            <v>الخدمات المالية المتنوعة</v>
          </cell>
        </row>
        <row r="90">
          <cell r="A90" t="str">
            <v>THBK</v>
          </cell>
          <cell r="B90">
            <v>111004</v>
          </cell>
          <cell r="C90" t="str">
            <v>بنك الاسكان</v>
          </cell>
          <cell r="D90" t="str">
            <v>البنوك</v>
          </cell>
        </row>
        <row r="91">
          <cell r="A91" t="str">
            <v>THDI</v>
          </cell>
          <cell r="B91">
            <v>131265</v>
          </cell>
          <cell r="C91" t="str">
            <v>التحديث</v>
          </cell>
          <cell r="D91" t="str">
            <v>الخدمات المالية المتنوعة</v>
          </cell>
        </row>
        <row r="92">
          <cell r="A92" t="str">
            <v>THMA</v>
          </cell>
          <cell r="B92">
            <v>131268</v>
          </cell>
          <cell r="C92" t="str">
            <v>تهامة للاستثمارات</v>
          </cell>
          <cell r="D92" t="str">
            <v>الخدمات المالية المتنوعة</v>
          </cell>
        </row>
        <row r="93">
          <cell r="A93" t="str">
            <v>TIIC</v>
          </cell>
          <cell r="B93">
            <v>121025</v>
          </cell>
          <cell r="C93" t="str">
            <v>التأمين الاسلامية</v>
          </cell>
          <cell r="D93" t="str">
            <v>التأمين</v>
          </cell>
        </row>
        <row r="94">
          <cell r="A94" t="str">
            <v>TRUK</v>
          </cell>
          <cell r="B94">
            <v>131290</v>
          </cell>
          <cell r="C94" t="str">
            <v>العبور</v>
          </cell>
          <cell r="D94" t="str">
            <v>النقل</v>
          </cell>
        </row>
        <row r="95">
          <cell r="A95" t="str">
            <v>UBSI</v>
          </cell>
          <cell r="B95">
            <v>111007</v>
          </cell>
          <cell r="C95" t="str">
            <v>بنك الإتحاد</v>
          </cell>
          <cell r="D95" t="str">
            <v>البنوك</v>
          </cell>
        </row>
        <row r="96">
          <cell r="A96" t="str">
            <v>UCIC</v>
          </cell>
          <cell r="B96">
            <v>141215</v>
          </cell>
          <cell r="C96" t="str">
            <v>الكابلات المتحدة</v>
          </cell>
          <cell r="D96" t="str">
            <v>الصناعات الكهربائية</v>
          </cell>
        </row>
        <row r="97">
          <cell r="A97" t="str">
            <v>UINV</v>
          </cell>
          <cell r="B97">
            <v>131069</v>
          </cell>
          <cell r="C97" t="str">
            <v>الاتحاد للاستثمارات</v>
          </cell>
          <cell r="D97" t="str">
            <v>الخدمات المالية المتنوعة</v>
          </cell>
        </row>
        <row r="98">
          <cell r="A98" t="str">
            <v>UNAI</v>
          </cell>
          <cell r="B98">
            <v>131247</v>
          </cell>
          <cell r="C98" t="str">
            <v>اتحاد المستثمرون</v>
          </cell>
          <cell r="D98" t="str">
            <v>الخدمات المالية المتنوعة</v>
          </cell>
        </row>
        <row r="99">
          <cell r="A99" t="str">
            <v>UTOB</v>
          </cell>
          <cell r="B99">
            <v>141074</v>
          </cell>
          <cell r="C99" t="str">
            <v>الاتحاد للسجائر</v>
          </cell>
          <cell r="D99" t="str">
            <v>التبغ والسجائر</v>
          </cell>
        </row>
        <row r="100">
          <cell r="A100" t="str">
            <v>ZARA</v>
          </cell>
          <cell r="B100">
            <v>131067</v>
          </cell>
          <cell r="C100" t="str">
            <v>زارة للاستثمار</v>
          </cell>
          <cell r="D100" t="str">
            <v>الفنادق و السياحة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ted"/>
      <sheetName val="Live Data"/>
      <sheetName val="All Shares"/>
      <sheetName val="Sheet1"/>
    </sheetNames>
    <sheetDataSet>
      <sheetData sheetId="0"/>
      <sheetData sheetId="1"/>
      <sheetData sheetId="2">
        <row r="332">
          <cell r="A332" t="str">
            <v>AAIN</v>
          </cell>
          <cell r="B332">
            <v>121003</v>
          </cell>
          <cell r="C332" t="str">
            <v>النسر العربي للتأمين</v>
          </cell>
          <cell r="D332" t="str">
            <v>النسر العربي للتأمين</v>
          </cell>
          <cell r="E332">
            <v>1</v>
          </cell>
          <cell r="F332">
            <v>10000000</v>
          </cell>
          <cell r="G332" t="str">
            <v>التأمين</v>
          </cell>
        </row>
        <row r="333">
          <cell r="A333" t="str">
            <v>AALU</v>
          </cell>
          <cell r="B333">
            <v>141006</v>
          </cell>
          <cell r="C333" t="str">
            <v>العربية لصناعة الالمنيوم/ارال</v>
          </cell>
          <cell r="D333" t="str">
            <v>الألمنيوم/آرال</v>
          </cell>
          <cell r="E333">
            <v>1</v>
          </cell>
          <cell r="F333">
            <v>6750000</v>
          </cell>
          <cell r="G333" t="str">
            <v>الصناعات الاستخراجية والتعدينية</v>
          </cell>
        </row>
        <row r="334">
          <cell r="A334" t="str">
            <v>ABCO</v>
          </cell>
          <cell r="B334">
            <v>111009</v>
          </cell>
          <cell r="C334" t="str">
            <v>بنك المؤسسة العربية المصرفية/الاردن</v>
          </cell>
          <cell r="D334" t="str">
            <v>بنك المؤسسة العربية</v>
          </cell>
          <cell r="E334">
            <v>1</v>
          </cell>
          <cell r="F334">
            <v>110000000</v>
          </cell>
          <cell r="G334" t="str">
            <v>البنوك</v>
          </cell>
        </row>
        <row r="335">
          <cell r="A335" t="str">
            <v>ABUS</v>
          </cell>
          <cell r="B335">
            <v>131256</v>
          </cell>
          <cell r="C335" t="str">
            <v>المتكاملة للنقل المتعدد</v>
          </cell>
          <cell r="D335" t="str">
            <v>المتكاملة للنقل</v>
          </cell>
          <cell r="E335">
            <v>2</v>
          </cell>
          <cell r="F335">
            <v>15000000</v>
          </cell>
          <cell r="G335" t="str">
            <v>النقل</v>
          </cell>
        </row>
        <row r="336">
          <cell r="A336" t="str">
            <v>ACDT</v>
          </cell>
          <cell r="B336">
            <v>141010</v>
          </cell>
          <cell r="C336" t="str">
            <v>المتصدرة للأعمال والمشاريع</v>
          </cell>
          <cell r="D336" t="str">
            <v>المتصدرة</v>
          </cell>
          <cell r="E336">
            <v>2</v>
          </cell>
          <cell r="F336">
            <v>1500000</v>
          </cell>
          <cell r="G336" t="str">
            <v>الصناعات الكيماوية</v>
          </cell>
        </row>
        <row r="337">
          <cell r="A337" t="str">
            <v>AEIV</v>
          </cell>
          <cell r="B337">
            <v>131082</v>
          </cell>
          <cell r="C337" t="str">
            <v>الشرق العربي للاستثمارات المالية والاقتصادية</v>
          </cell>
          <cell r="D337" t="str">
            <v>شرق عربي للاستثمارات</v>
          </cell>
          <cell r="E337">
            <v>2</v>
          </cell>
          <cell r="F337">
            <v>47000000</v>
          </cell>
          <cell r="G337" t="str">
            <v>الخدمات المالية المتنوعة</v>
          </cell>
        </row>
        <row r="338">
          <cell r="A338" t="str">
            <v>AHLI</v>
          </cell>
          <cell r="B338">
            <v>111033</v>
          </cell>
          <cell r="C338" t="str">
            <v>البنك الاهلي الاردني</v>
          </cell>
          <cell r="D338" t="str">
            <v>البنك الاهلي</v>
          </cell>
          <cell r="E338">
            <v>1</v>
          </cell>
          <cell r="F338">
            <v>200655000</v>
          </cell>
          <cell r="G338" t="str">
            <v>البنوك</v>
          </cell>
        </row>
        <row r="339">
          <cell r="A339" t="str">
            <v>AICJ</v>
          </cell>
          <cell r="B339">
            <v>121005</v>
          </cell>
          <cell r="C339" t="str">
            <v>التأمين العربية - الأردن</v>
          </cell>
          <cell r="D339" t="str">
            <v>التأمين العربية - الأردن</v>
          </cell>
          <cell r="E339">
            <v>2</v>
          </cell>
          <cell r="F339">
            <v>8000000</v>
          </cell>
          <cell r="G339" t="str">
            <v>التأمين</v>
          </cell>
        </row>
        <row r="340">
          <cell r="A340" t="str">
            <v>AIEI</v>
          </cell>
          <cell r="B340">
            <v>131052</v>
          </cell>
          <cell r="C340" t="str">
            <v>العربية الدولية للتعليم والاستثمار</v>
          </cell>
          <cell r="D340" t="str">
            <v>الدولية للتعليم</v>
          </cell>
          <cell r="E340">
            <v>1</v>
          </cell>
          <cell r="F340">
            <v>40500000</v>
          </cell>
          <cell r="G340" t="str">
            <v>الخدمات التعليمية</v>
          </cell>
        </row>
        <row r="341">
          <cell r="A341" t="str">
            <v>AIFE</v>
          </cell>
          <cell r="B341">
            <v>131220</v>
          </cell>
          <cell r="C341" t="str">
            <v>الإسراء للتعليم والإستثمار</v>
          </cell>
          <cell r="D341" t="str">
            <v>الإسراء للتعليم</v>
          </cell>
          <cell r="E341">
            <v>1</v>
          </cell>
          <cell r="F341">
            <v>15000000</v>
          </cell>
          <cell r="G341" t="str">
            <v>الخدمات التعليمية</v>
          </cell>
        </row>
        <row r="342">
          <cell r="A342" t="str">
            <v>AIHO</v>
          </cell>
          <cell r="B342">
            <v>131005</v>
          </cell>
          <cell r="C342" t="str">
            <v>العربية الدولية للفنادق</v>
          </cell>
          <cell r="D342" t="str">
            <v>العربية الدولية للفنادق</v>
          </cell>
          <cell r="E342">
            <v>2</v>
          </cell>
          <cell r="F342">
            <v>32728881</v>
          </cell>
          <cell r="G342" t="str">
            <v>الفنادق و السياحة</v>
          </cell>
        </row>
        <row r="343">
          <cell r="A343" t="str">
            <v>AIPC</v>
          </cell>
          <cell r="B343">
            <v>131078</v>
          </cell>
          <cell r="C343" t="str">
            <v>الشرق للمشاريع الاستثمارية</v>
          </cell>
          <cell r="D343" t="str">
            <v>الشرق للمشاريع</v>
          </cell>
          <cell r="E343">
            <v>2</v>
          </cell>
          <cell r="F343">
            <v>16000000</v>
          </cell>
          <cell r="G343" t="str">
            <v>الفنادق و السياحة</v>
          </cell>
        </row>
        <row r="344">
          <cell r="A344" t="str">
            <v>AJIB</v>
          </cell>
          <cell r="B344">
            <v>111005</v>
          </cell>
          <cell r="C344" t="str">
            <v>بنك الاستثمار العربي الاردني</v>
          </cell>
          <cell r="D344" t="str">
            <v>بنك الاستثمار العربي</v>
          </cell>
          <cell r="E344">
            <v>1</v>
          </cell>
          <cell r="F344">
            <v>150000000</v>
          </cell>
          <cell r="G344" t="str">
            <v>البنوك</v>
          </cell>
        </row>
        <row r="345">
          <cell r="A345" t="str">
            <v>ALFA</v>
          </cell>
          <cell r="B345">
            <v>131083</v>
          </cell>
          <cell r="C345" t="str">
            <v>الاردنية للاستثمار والنقل المتعدد</v>
          </cell>
          <cell r="D345" t="str">
            <v>الفا للنقل</v>
          </cell>
          <cell r="E345">
            <v>2</v>
          </cell>
          <cell r="F345">
            <v>5000000</v>
          </cell>
          <cell r="G345" t="str">
            <v>النقل</v>
          </cell>
        </row>
        <row r="346">
          <cell r="A346" t="str">
            <v>AMAD</v>
          </cell>
          <cell r="B346">
            <v>131234</v>
          </cell>
          <cell r="C346" t="str">
            <v>عمد للاستثمار والتنمية العقارية</v>
          </cell>
          <cell r="D346" t="str">
            <v>عمد للاستثمار</v>
          </cell>
          <cell r="E346">
            <v>2</v>
          </cell>
          <cell r="F346">
            <v>6000000</v>
          </cell>
          <cell r="G346" t="str">
            <v>العقارات</v>
          </cell>
        </row>
        <row r="347">
          <cell r="A347" t="str">
            <v>AMAL</v>
          </cell>
          <cell r="B347">
            <v>131231</v>
          </cell>
          <cell r="C347" t="str">
            <v>الأمل للاستثمارات المالية</v>
          </cell>
          <cell r="D347" t="str">
            <v>الأمل للاستثمارات</v>
          </cell>
          <cell r="E347">
            <v>2</v>
          </cell>
          <cell r="F347">
            <v>15000000</v>
          </cell>
          <cell r="G347" t="str">
            <v>الخدمات المالية المتنوعة</v>
          </cell>
        </row>
        <row r="348">
          <cell r="A348" t="str">
            <v>AMMI</v>
          </cell>
          <cell r="B348">
            <v>121023</v>
          </cell>
          <cell r="C348" t="str">
            <v>المجموعة العربية الأوروبية للتأمين</v>
          </cell>
          <cell r="D348" t="str">
            <v>العربية الأوروبية</v>
          </cell>
          <cell r="E348">
            <v>2</v>
          </cell>
          <cell r="F348">
            <v>10054312</v>
          </cell>
          <cell r="G348" t="str">
            <v>التأمين</v>
          </cell>
        </row>
        <row r="349">
          <cell r="A349" t="str">
            <v>AMON</v>
          </cell>
          <cell r="B349">
            <v>131285</v>
          </cell>
          <cell r="C349" t="str">
            <v>عمون الدولية للاستثمارات المتعددة</v>
          </cell>
          <cell r="D349" t="str">
            <v>عمون الدولية للاستثمار</v>
          </cell>
          <cell r="E349">
            <v>2</v>
          </cell>
          <cell r="F349">
            <v>6180371</v>
          </cell>
          <cell r="G349" t="str">
            <v>العقارات</v>
          </cell>
        </row>
        <row r="350">
          <cell r="A350" t="str">
            <v>APCT</v>
          </cell>
          <cell r="B350">
            <v>141003</v>
          </cell>
          <cell r="C350" t="str">
            <v>العربية للمشاريع الاستثمارية</v>
          </cell>
          <cell r="D350" t="str">
            <v>العربية الاستثمارية</v>
          </cell>
          <cell r="E350">
            <v>2</v>
          </cell>
          <cell r="F350">
            <v>2500000</v>
          </cell>
          <cell r="G350" t="str">
            <v>العقارات</v>
          </cell>
        </row>
        <row r="351">
          <cell r="A351" t="str">
            <v>APOT</v>
          </cell>
          <cell r="B351">
            <v>141043</v>
          </cell>
          <cell r="C351" t="str">
            <v>البوتاس العربية</v>
          </cell>
          <cell r="D351" t="str">
            <v>البوتاس العربية</v>
          </cell>
          <cell r="E351">
            <v>1</v>
          </cell>
          <cell r="F351">
            <v>83317500</v>
          </cell>
          <cell r="G351" t="str">
            <v>الصناعات الاستخراجية والتعدينية</v>
          </cell>
        </row>
        <row r="352">
          <cell r="A352" t="str">
            <v>AQAR</v>
          </cell>
          <cell r="B352">
            <v>131101</v>
          </cell>
          <cell r="C352" t="str">
            <v>المحفظة العقارية الاستثمارية</v>
          </cell>
          <cell r="D352" t="str">
            <v>المحفظة العقارية</v>
          </cell>
          <cell r="E352">
            <v>2</v>
          </cell>
          <cell r="F352">
            <v>6000000</v>
          </cell>
          <cell r="G352" t="str">
            <v>العقارات</v>
          </cell>
        </row>
        <row r="353">
          <cell r="A353" t="str">
            <v>AQRM</v>
          </cell>
          <cell r="B353">
            <v>141208</v>
          </cell>
          <cell r="C353" t="str">
            <v>القدس للصناعات الخرسانية</v>
          </cell>
          <cell r="D353" t="str">
            <v>القدس الخرسانية</v>
          </cell>
          <cell r="E353">
            <v>1</v>
          </cell>
          <cell r="F353">
            <v>7460026</v>
          </cell>
          <cell r="G353" t="str">
            <v>الصناعات الهندسية و الانشائية</v>
          </cell>
        </row>
        <row r="354">
          <cell r="A354" t="str">
            <v>ARAS</v>
          </cell>
          <cell r="B354">
            <v>121026</v>
          </cell>
          <cell r="C354" t="str">
            <v>الضامنون العرب للتأمين</v>
          </cell>
          <cell r="D354" t="str">
            <v>الضامنون العرب</v>
          </cell>
          <cell r="E354">
            <v>2</v>
          </cell>
          <cell r="F354">
            <v>9215909</v>
          </cell>
          <cell r="G354" t="str">
            <v>التأمين</v>
          </cell>
        </row>
        <row r="355">
          <cell r="A355" t="str">
            <v>ARBK</v>
          </cell>
          <cell r="B355">
            <v>113023</v>
          </cell>
          <cell r="C355" t="str">
            <v>البنك العربي</v>
          </cell>
          <cell r="D355" t="str">
            <v>البنك العربي</v>
          </cell>
          <cell r="E355">
            <v>1</v>
          </cell>
          <cell r="F355">
            <v>640800000</v>
          </cell>
          <cell r="G355" t="str">
            <v>البنوك</v>
          </cell>
        </row>
        <row r="356">
          <cell r="A356" t="str">
            <v>ARGR</v>
          </cell>
          <cell r="B356">
            <v>121027</v>
          </cell>
          <cell r="C356" t="str">
            <v>المجموعة العربية الاردنية للتأمين</v>
          </cell>
          <cell r="D356" t="str">
            <v>المجموعة للتأمين</v>
          </cell>
          <cell r="E356">
            <v>2</v>
          </cell>
          <cell r="F356">
            <v>9500000</v>
          </cell>
          <cell r="G356" t="str">
            <v>التأمين</v>
          </cell>
        </row>
        <row r="357">
          <cell r="A357" t="str">
            <v>ASAS</v>
          </cell>
          <cell r="B357">
            <v>141214</v>
          </cell>
          <cell r="C357" t="str">
            <v>أساس للصناعات الخرسانية</v>
          </cell>
          <cell r="D357" t="str">
            <v>الأساس</v>
          </cell>
          <cell r="E357">
            <v>1</v>
          </cell>
          <cell r="F357">
            <v>7120000</v>
          </cell>
          <cell r="G357" t="str">
            <v>الصناعات الهندسية و الانشائية</v>
          </cell>
        </row>
        <row r="358">
          <cell r="A358" t="str">
            <v>ASPMM</v>
          </cell>
          <cell r="B358">
            <v>141098</v>
          </cell>
          <cell r="C358" t="str">
            <v>العربية لصناعة المواسير المعدنية</v>
          </cell>
          <cell r="D358" t="str">
            <v>المواسير المعدنية</v>
          </cell>
          <cell r="E358">
            <v>1</v>
          </cell>
          <cell r="F358">
            <v>9000000</v>
          </cell>
          <cell r="G358" t="str">
            <v>الصناعات الهندسية و الانشائية</v>
          </cell>
        </row>
        <row r="359">
          <cell r="A359" t="str">
            <v>ATCO</v>
          </cell>
          <cell r="B359">
            <v>141058</v>
          </cell>
          <cell r="C359" t="str">
            <v>انجاز للتنمية والمشاريع المتعددة</v>
          </cell>
          <cell r="D359" t="str">
            <v>انجاز</v>
          </cell>
          <cell r="E359">
            <v>2</v>
          </cell>
          <cell r="F359">
            <v>37720000</v>
          </cell>
          <cell r="G359" t="str">
            <v>الخدمات التجارية</v>
          </cell>
        </row>
        <row r="360">
          <cell r="A360" t="str">
            <v>ATTA</v>
          </cell>
          <cell r="B360">
            <v>141036</v>
          </cell>
          <cell r="C360" t="str">
            <v>المتكاملة لتطوير الاراضي والاستثمار</v>
          </cell>
          <cell r="D360" t="str">
            <v>المتكاملة لتطوير الاراضي والاستثمار</v>
          </cell>
          <cell r="E360">
            <v>2</v>
          </cell>
          <cell r="F360">
            <v>10000000</v>
          </cell>
          <cell r="G360" t="str">
            <v>العقارات</v>
          </cell>
        </row>
        <row r="361">
          <cell r="A361" t="str">
            <v>BIND</v>
          </cell>
          <cell r="B361">
            <v>131219</v>
          </cell>
          <cell r="C361" t="str">
            <v>بندار للتجارة والإستثمار</v>
          </cell>
          <cell r="D361" t="str">
            <v>بندار</v>
          </cell>
          <cell r="E361">
            <v>2</v>
          </cell>
          <cell r="F361">
            <v>25205677</v>
          </cell>
          <cell r="G361" t="str">
            <v>الخدمات التجارية</v>
          </cell>
        </row>
        <row r="362">
          <cell r="A362" t="str">
            <v>BLAD</v>
          </cell>
          <cell r="B362">
            <v>131250</v>
          </cell>
          <cell r="C362" t="str">
            <v>البلاد للأوراق المالية والاستثمار</v>
          </cell>
          <cell r="D362" t="str">
            <v>البلاد للاستثمارات</v>
          </cell>
          <cell r="E362">
            <v>2</v>
          </cell>
          <cell r="F362">
            <v>10000000</v>
          </cell>
          <cell r="G362" t="str">
            <v>الخدمات المالية المتنوعة</v>
          </cell>
        </row>
        <row r="363">
          <cell r="A363" t="str">
            <v>BOJX</v>
          </cell>
          <cell r="B363">
            <v>111022</v>
          </cell>
          <cell r="C363" t="str">
            <v>بنك الاردن</v>
          </cell>
          <cell r="D363" t="str">
            <v>بنك الاردن</v>
          </cell>
          <cell r="E363">
            <v>1</v>
          </cell>
          <cell r="F363">
            <v>200000000</v>
          </cell>
          <cell r="G363" t="str">
            <v>البنوك</v>
          </cell>
        </row>
        <row r="364">
          <cell r="A364" t="str">
            <v>CABK</v>
          </cell>
          <cell r="B364">
            <v>111021</v>
          </cell>
          <cell r="C364" t="str">
            <v>بنك القاهرة عمان</v>
          </cell>
          <cell r="D364" t="str">
            <v>بنك القاهرة عمان</v>
          </cell>
          <cell r="E364">
            <v>1</v>
          </cell>
          <cell r="F364">
            <v>190000000</v>
          </cell>
          <cell r="G364" t="str">
            <v>البنوك</v>
          </cell>
        </row>
        <row r="365">
          <cell r="A365" t="str">
            <v>CAPL</v>
          </cell>
          <cell r="B365">
            <v>111017</v>
          </cell>
          <cell r="C365" t="str">
            <v>بنك المال الأردني</v>
          </cell>
          <cell r="D365" t="str">
            <v>بنك المال</v>
          </cell>
          <cell r="E365">
            <v>1</v>
          </cell>
          <cell r="F365">
            <v>263037122</v>
          </cell>
          <cell r="G365" t="str">
            <v>البنوك</v>
          </cell>
        </row>
        <row r="366">
          <cell r="A366" t="str">
            <v>CEBC</v>
          </cell>
          <cell r="B366">
            <v>131232</v>
          </cell>
          <cell r="C366" t="str">
            <v>الفارس الوطنية للاستثمار والتصدير</v>
          </cell>
          <cell r="D366" t="str">
            <v>الفارس الوطنية</v>
          </cell>
          <cell r="E366">
            <v>2</v>
          </cell>
          <cell r="F366">
            <v>16000000</v>
          </cell>
          <cell r="G366" t="str">
            <v>التكنولوجيا و الإتصالات</v>
          </cell>
        </row>
        <row r="367">
          <cell r="A367" t="str">
            <v>CEIG</v>
          </cell>
          <cell r="B367">
            <v>131097</v>
          </cell>
          <cell r="C367" t="str">
            <v>مجموعة العصر للاستثمار</v>
          </cell>
          <cell r="D367" t="str">
            <v>العصر للاستثمار</v>
          </cell>
          <cell r="E367">
            <v>2</v>
          </cell>
          <cell r="F367">
            <v>10000000</v>
          </cell>
          <cell r="G367" t="str">
            <v>الخدمات المالية المتنوعة</v>
          </cell>
        </row>
        <row r="368">
          <cell r="A368" t="str">
            <v>CICO</v>
          </cell>
          <cell r="B368">
            <v>131207</v>
          </cell>
          <cell r="C368" t="str">
            <v>المجموعة الاستشارية الاستثمارية</v>
          </cell>
          <cell r="D368" t="str">
            <v>المجموعة الاستشارية</v>
          </cell>
          <cell r="E368">
            <v>1</v>
          </cell>
          <cell r="F368">
            <v>20000000</v>
          </cell>
          <cell r="G368" t="str">
            <v>الخدمات الصحية</v>
          </cell>
        </row>
        <row r="369">
          <cell r="A369" t="str">
            <v>COHO</v>
          </cell>
          <cell r="B369">
            <v>131241</v>
          </cell>
          <cell r="C369" t="str">
            <v>المعاصرون للمشاريع الاسكانية</v>
          </cell>
          <cell r="D369" t="str">
            <v>المعاصرون</v>
          </cell>
          <cell r="E369">
            <v>2</v>
          </cell>
          <cell r="F369">
            <v>6000000</v>
          </cell>
          <cell r="G369" t="str">
            <v>العقارات</v>
          </cell>
        </row>
        <row r="370">
          <cell r="A370" t="str">
            <v>DADI</v>
          </cell>
          <cell r="B370">
            <v>141012</v>
          </cell>
          <cell r="C370" t="str">
            <v>دار الدواء للتنمية والاستثمار</v>
          </cell>
          <cell r="D370" t="str">
            <v>دار الدواء</v>
          </cell>
          <cell r="E370">
            <v>1</v>
          </cell>
          <cell r="F370">
            <v>35000000</v>
          </cell>
          <cell r="G370" t="str">
            <v>الأدوية و الصناعات الطبية</v>
          </cell>
        </row>
        <row r="371">
          <cell r="A371" t="str">
            <v>DAIF</v>
          </cell>
          <cell r="B371">
            <v>131282</v>
          </cell>
          <cell r="C371" t="str">
            <v>دار الأمان للتمويل الإسلامي</v>
          </cell>
          <cell r="D371" t="str">
            <v>دار الأمان</v>
          </cell>
          <cell r="E371">
            <v>2</v>
          </cell>
          <cell r="F371">
            <v>16000000</v>
          </cell>
          <cell r="G371" t="str">
            <v>الخدمات المالية المتنوعة</v>
          </cell>
        </row>
        <row r="372">
          <cell r="A372" t="str">
            <v>DARA</v>
          </cell>
          <cell r="B372">
            <v>131274</v>
          </cell>
          <cell r="C372" t="str">
            <v>دارات الأردنية القابضة</v>
          </cell>
          <cell r="D372" t="str">
            <v>دارات</v>
          </cell>
          <cell r="E372">
            <v>1</v>
          </cell>
          <cell r="F372">
            <v>10250000</v>
          </cell>
          <cell r="G372" t="str">
            <v>الخدمات المالية المتنوعة</v>
          </cell>
        </row>
        <row r="373">
          <cell r="A373" t="str">
            <v>DERA</v>
          </cell>
          <cell r="B373">
            <v>131255</v>
          </cell>
          <cell r="C373" t="str">
            <v>الديرة للاستثمار والتطوير العقاري</v>
          </cell>
          <cell r="D373" t="str">
            <v>ديرة</v>
          </cell>
          <cell r="E373">
            <v>2</v>
          </cell>
          <cell r="F373">
            <v>40000000</v>
          </cell>
          <cell r="G373" t="str">
            <v>العقارات</v>
          </cell>
        </row>
        <row r="374">
          <cell r="A374" t="str">
            <v>DICL</v>
          </cell>
          <cell r="B374">
            <v>121006</v>
          </cell>
          <cell r="C374" t="str">
            <v>دلتا للتأمين</v>
          </cell>
          <cell r="D374" t="str">
            <v>دلتا للتأمين</v>
          </cell>
          <cell r="E374">
            <v>2</v>
          </cell>
          <cell r="F374">
            <v>8000000</v>
          </cell>
          <cell r="G374" t="str">
            <v>التأمين</v>
          </cell>
        </row>
        <row r="375">
          <cell r="A375" t="str">
            <v>DMAN</v>
          </cell>
          <cell r="B375">
            <v>131065</v>
          </cell>
          <cell r="C375" t="str">
            <v>الضمان للاستثمار</v>
          </cell>
          <cell r="D375" t="str">
            <v>الضمان للاستثمار</v>
          </cell>
          <cell r="E375">
            <v>2</v>
          </cell>
          <cell r="F375">
            <v>10000000</v>
          </cell>
          <cell r="G375" t="str">
            <v>الخدمات المالية المتنوعة</v>
          </cell>
        </row>
        <row r="376">
          <cell r="A376" t="str">
            <v>ENTK</v>
          </cell>
          <cell r="B376">
            <v>131287</v>
          </cell>
          <cell r="C376" t="str">
            <v>الانتقائية للاستثمار والتطوير العقاري</v>
          </cell>
          <cell r="D376" t="str">
            <v>الانتقائية</v>
          </cell>
          <cell r="E376">
            <v>2</v>
          </cell>
          <cell r="F376">
            <v>2345171</v>
          </cell>
          <cell r="G376" t="str">
            <v>العقارات</v>
          </cell>
        </row>
        <row r="377">
          <cell r="A377" t="str">
            <v>FFCO</v>
          </cell>
          <cell r="B377">
            <v>131251</v>
          </cell>
          <cell r="C377" t="str">
            <v>الأولى للتمويل</v>
          </cell>
          <cell r="D377" t="str">
            <v>الأولى للتمويل</v>
          </cell>
          <cell r="E377">
            <v>2</v>
          </cell>
          <cell r="F377">
            <v>35000000</v>
          </cell>
          <cell r="G377" t="str">
            <v>الخدمات المالية المتنوعة</v>
          </cell>
        </row>
        <row r="378">
          <cell r="A378" t="str">
            <v>FINS</v>
          </cell>
          <cell r="B378">
            <v>121034</v>
          </cell>
          <cell r="C378" t="str">
            <v>الأولى للتأمين</v>
          </cell>
          <cell r="D378" t="str">
            <v>الأولى للتأمين</v>
          </cell>
          <cell r="E378">
            <v>1</v>
          </cell>
          <cell r="F378">
            <v>28000000</v>
          </cell>
          <cell r="G378" t="str">
            <v>التأمين</v>
          </cell>
        </row>
        <row r="379">
          <cell r="A379" t="str">
            <v>FRST</v>
          </cell>
          <cell r="B379">
            <v>131269</v>
          </cell>
          <cell r="C379" t="str">
            <v>الأردن الأولى للاستثمار</v>
          </cell>
          <cell r="D379" t="str">
            <v>الأردن الأولى</v>
          </cell>
          <cell r="E379">
            <v>2</v>
          </cell>
          <cell r="F379">
            <v>75000000</v>
          </cell>
          <cell r="G379" t="str">
            <v>الخدمات المالية المتنوعة</v>
          </cell>
        </row>
        <row r="380">
          <cell r="A380" t="str">
            <v>FUND</v>
          </cell>
          <cell r="B380">
            <v>141218</v>
          </cell>
          <cell r="C380" t="str">
            <v>الأردنية لإدارة الصناديق الاستثمارية</v>
          </cell>
          <cell r="D380" t="str">
            <v>الأردنية للصناديق</v>
          </cell>
          <cell r="E380">
            <v>2</v>
          </cell>
          <cell r="F380">
            <v>6000000</v>
          </cell>
          <cell r="G380" t="str">
            <v>الخدمات المالية المتنوعة</v>
          </cell>
        </row>
        <row r="381">
          <cell r="A381" t="str">
            <v>FUTR</v>
          </cell>
          <cell r="B381">
            <v>131258</v>
          </cell>
          <cell r="C381" t="str">
            <v>المستقبل العربية للاستثمار</v>
          </cell>
          <cell r="D381" t="str">
            <v>المستقبل العربية</v>
          </cell>
          <cell r="E381">
            <v>2</v>
          </cell>
          <cell r="F381">
            <v>20000000</v>
          </cell>
          <cell r="G381" t="str">
            <v>الخدمات المالية المتنوعة</v>
          </cell>
        </row>
        <row r="382">
          <cell r="A382" t="str">
            <v>GENI</v>
          </cell>
          <cell r="B382">
            <v>141029</v>
          </cell>
          <cell r="C382" t="str">
            <v>الاستثمارات العامة</v>
          </cell>
          <cell r="D382" t="str">
            <v>الاستثمارات العامة</v>
          </cell>
          <cell r="E382">
            <v>1</v>
          </cell>
          <cell r="F382">
            <v>10000000</v>
          </cell>
          <cell r="G382" t="str">
            <v>الأغذية و المشروبات</v>
          </cell>
        </row>
        <row r="383">
          <cell r="A383" t="str">
            <v>GIGJ</v>
          </cell>
          <cell r="B383">
            <v>121014</v>
          </cell>
          <cell r="C383" t="str">
            <v>مجموعة الخليج للتأمين - الأردن</v>
          </cell>
          <cell r="D383" t="str">
            <v>مجموعة الخليج للتأمين - الأردن</v>
          </cell>
          <cell r="E383">
            <v>2</v>
          </cell>
          <cell r="F383">
            <v>26000000</v>
          </cell>
          <cell r="G383" t="str">
            <v>التأمين</v>
          </cell>
        </row>
        <row r="384">
          <cell r="A384" t="str">
            <v>HIPR</v>
          </cell>
          <cell r="B384">
            <v>131246</v>
          </cell>
          <cell r="C384" t="str">
            <v>الكفاءة للاستثمارات العقارية</v>
          </cell>
          <cell r="D384" t="str">
            <v>الكفاءة</v>
          </cell>
          <cell r="E384">
            <v>2</v>
          </cell>
          <cell r="F384">
            <v>12000000</v>
          </cell>
          <cell r="G384" t="str">
            <v>العقارات</v>
          </cell>
        </row>
        <row r="385">
          <cell r="A385" t="str">
            <v>HPIC</v>
          </cell>
          <cell r="B385">
            <v>141210</v>
          </cell>
          <cell r="C385" t="str">
            <v>الحياة للصناعات الدوائية</v>
          </cell>
          <cell r="D385" t="str">
            <v>الحياة الدوائية</v>
          </cell>
          <cell r="E385">
            <v>1</v>
          </cell>
          <cell r="F385">
            <v>9500000</v>
          </cell>
          <cell r="G385" t="str">
            <v>الأدوية و الصناعات الطبية</v>
          </cell>
        </row>
        <row r="386">
          <cell r="A386" t="str">
            <v>IBNH</v>
          </cell>
          <cell r="B386">
            <v>131279</v>
          </cell>
          <cell r="C386" t="str">
            <v>مستشفى ابن الهيثم</v>
          </cell>
          <cell r="D386" t="str">
            <v>مستشفى ابن الهيثم</v>
          </cell>
          <cell r="E386">
            <v>2</v>
          </cell>
          <cell r="F386">
            <v>20000000</v>
          </cell>
          <cell r="G386" t="str">
            <v>الخدمات الصحية</v>
          </cell>
        </row>
        <row r="387">
          <cell r="A387" t="str">
            <v>ICAG</v>
          </cell>
          <cell r="B387">
            <v>141009</v>
          </cell>
          <cell r="C387" t="str">
            <v>الصناعية التجارية الزراعية / الانتاج</v>
          </cell>
          <cell r="D387" t="str">
            <v>الانتاج</v>
          </cell>
          <cell r="E387">
            <v>1</v>
          </cell>
          <cell r="F387">
            <v>14956389</v>
          </cell>
          <cell r="G387" t="str">
            <v>الصناعات الكيماوية</v>
          </cell>
        </row>
        <row r="388">
          <cell r="A388" t="str">
            <v>IDMC</v>
          </cell>
          <cell r="B388">
            <v>141106</v>
          </cell>
          <cell r="C388" t="str">
            <v>مجمع الضليل الصناعي العقاري</v>
          </cell>
          <cell r="D388" t="str">
            <v>مجمع الضليل</v>
          </cell>
          <cell r="E388">
            <v>1</v>
          </cell>
          <cell r="F388">
            <v>22278900</v>
          </cell>
          <cell r="G388" t="str">
            <v>العقارات</v>
          </cell>
        </row>
        <row r="389">
          <cell r="A389" t="str">
            <v>IHCO</v>
          </cell>
          <cell r="B389">
            <v>131236</v>
          </cell>
          <cell r="C389" t="str">
            <v>الإحداثيات العقارية</v>
          </cell>
          <cell r="D389" t="str">
            <v>الإحداثيات العقارية</v>
          </cell>
          <cell r="E389">
            <v>2</v>
          </cell>
          <cell r="F389">
            <v>4486627</v>
          </cell>
          <cell r="G389" t="str">
            <v>العقارات</v>
          </cell>
        </row>
        <row r="390">
          <cell r="A390" t="str">
            <v>INMA</v>
          </cell>
          <cell r="B390">
            <v>131225</v>
          </cell>
          <cell r="C390" t="str">
            <v>الانماء العربية للتجارة والاستثمارات العالمية</v>
          </cell>
          <cell r="D390" t="str">
            <v>الانماء العربية</v>
          </cell>
          <cell r="E390">
            <v>2</v>
          </cell>
          <cell r="F390">
            <v>3000000</v>
          </cell>
          <cell r="G390" t="str">
            <v>العقارات</v>
          </cell>
        </row>
        <row r="391">
          <cell r="A391" t="str">
            <v>INVB</v>
          </cell>
          <cell r="B391">
            <v>111014</v>
          </cell>
          <cell r="C391" t="str">
            <v>البنك الاستثماري</v>
          </cell>
          <cell r="D391" t="str">
            <v>البنك الاستثماري</v>
          </cell>
          <cell r="E391">
            <v>1</v>
          </cell>
          <cell r="F391">
            <v>100000000</v>
          </cell>
          <cell r="G391" t="str">
            <v>البنوك</v>
          </cell>
        </row>
        <row r="392">
          <cell r="A392" t="str">
            <v>IREL</v>
          </cell>
          <cell r="B392">
            <v>131010</v>
          </cell>
          <cell r="C392" t="str">
            <v>كهرباء محافظة اربد</v>
          </cell>
          <cell r="D392" t="str">
            <v>كهرباء اربد</v>
          </cell>
          <cell r="E392">
            <v>1</v>
          </cell>
          <cell r="F392">
            <v>14000000</v>
          </cell>
          <cell r="G392" t="str">
            <v>الطاقة و المنافع</v>
          </cell>
        </row>
        <row r="393">
          <cell r="A393" t="str">
            <v>JCBK</v>
          </cell>
          <cell r="B393">
            <v>111003</v>
          </cell>
          <cell r="C393" t="str">
            <v>البنك التجاري الأردني</v>
          </cell>
          <cell r="D393" t="str">
            <v>البنك التجاري الأردني</v>
          </cell>
          <cell r="E393">
            <v>1</v>
          </cell>
          <cell r="F393">
            <v>120000000</v>
          </cell>
          <cell r="G393" t="str">
            <v>البنوك</v>
          </cell>
        </row>
        <row r="394">
          <cell r="A394" t="str">
            <v>JDFI</v>
          </cell>
          <cell r="B394">
            <v>141032</v>
          </cell>
          <cell r="C394" t="str">
            <v>الأردنية للتطوير والاستثمار المالي</v>
          </cell>
          <cell r="D394" t="str">
            <v>الأردنية للتطوير</v>
          </cell>
          <cell r="E394">
            <v>2</v>
          </cell>
          <cell r="F394">
            <v>3000000</v>
          </cell>
          <cell r="G394" t="str">
            <v>الخدمات المالية المتنوعة</v>
          </cell>
        </row>
        <row r="395">
          <cell r="A395" t="str">
            <v>JDFS</v>
          </cell>
          <cell r="B395">
            <v>131022</v>
          </cell>
          <cell r="C395" t="str">
            <v>الاسواق الحرة الاردنية</v>
          </cell>
          <cell r="D395" t="str">
            <v>الاسواق الحرة</v>
          </cell>
          <cell r="E395">
            <v>1</v>
          </cell>
          <cell r="F395">
            <v>22500000</v>
          </cell>
          <cell r="G395" t="str">
            <v>الخدمات التجارية</v>
          </cell>
        </row>
        <row r="396">
          <cell r="A396" t="str">
            <v>JDPC</v>
          </cell>
          <cell r="B396">
            <v>131017</v>
          </cell>
          <cell r="C396" t="str">
            <v>الأردن ديكابولس للأملاك</v>
          </cell>
          <cell r="D396" t="str">
            <v>الأردن ديكابولس للأملاك</v>
          </cell>
          <cell r="E396">
            <v>2</v>
          </cell>
          <cell r="F396">
            <v>46967755</v>
          </cell>
          <cell r="G396" t="str">
            <v>العقارات</v>
          </cell>
        </row>
        <row r="397">
          <cell r="A397" t="str">
            <v>JEDI</v>
          </cell>
          <cell r="B397">
            <v>131271</v>
          </cell>
          <cell r="C397" t="str">
            <v>أبعاد الأردن والإمارات للاستثمار التجاري</v>
          </cell>
          <cell r="D397" t="str">
            <v>أبعاد للاستثمارات</v>
          </cell>
          <cell r="E397">
            <v>2</v>
          </cell>
          <cell r="F397">
            <v>500000</v>
          </cell>
          <cell r="G397" t="str">
            <v>الخدمات المالية المتنوعة</v>
          </cell>
        </row>
        <row r="398">
          <cell r="A398" t="str">
            <v>JEIH</v>
          </cell>
          <cell r="B398">
            <v>131025</v>
          </cell>
          <cell r="C398" t="str">
            <v>الاستثمارية القابضة للمغتربين الاردنيين</v>
          </cell>
          <cell r="D398" t="str">
            <v>الاستثمارية القابضة</v>
          </cell>
          <cell r="E398">
            <v>2</v>
          </cell>
          <cell r="F398">
            <v>14512500</v>
          </cell>
          <cell r="G398" t="str">
            <v>الخدمات المالية المتنوعة</v>
          </cell>
        </row>
        <row r="399">
          <cell r="A399" t="str">
            <v>JERY</v>
          </cell>
          <cell r="B399">
            <v>121007</v>
          </cell>
          <cell r="C399" t="str">
            <v>القدس للتأمين</v>
          </cell>
          <cell r="D399" t="str">
            <v>القدس للتأمين</v>
          </cell>
          <cell r="E399">
            <v>1</v>
          </cell>
          <cell r="F399">
            <v>8000000</v>
          </cell>
          <cell r="G399" t="str">
            <v>التأمين</v>
          </cell>
        </row>
        <row r="400">
          <cell r="A400" t="str">
            <v>JETT</v>
          </cell>
          <cell r="B400">
            <v>131080</v>
          </cell>
          <cell r="C400" t="str">
            <v>النقليات السياحة الاردنية /جت</v>
          </cell>
          <cell r="D400" t="str">
            <v>النقليات السياحة/جت</v>
          </cell>
          <cell r="E400">
            <v>1</v>
          </cell>
          <cell r="F400">
            <v>10800000</v>
          </cell>
          <cell r="G400" t="str">
            <v>النقل</v>
          </cell>
        </row>
        <row r="401">
          <cell r="A401" t="str">
            <v>JIIG</v>
          </cell>
          <cell r="B401">
            <v>131253</v>
          </cell>
          <cell r="C401" t="str">
            <v>الأردن الدولية للاستثمار</v>
          </cell>
          <cell r="D401" t="str">
            <v>الدولية للاستثمار</v>
          </cell>
          <cell r="E401">
            <v>2</v>
          </cell>
          <cell r="F401">
            <v>10000000</v>
          </cell>
          <cell r="G401" t="str">
            <v>العقارات</v>
          </cell>
        </row>
        <row r="402">
          <cell r="A402" t="str">
            <v>JIJC</v>
          </cell>
          <cell r="B402">
            <v>121022</v>
          </cell>
          <cell r="C402" t="str">
            <v>الاردن الدولية للتأمين</v>
          </cell>
          <cell r="D402" t="str">
            <v>الاردن الدولية للتأمين</v>
          </cell>
          <cell r="E402">
            <v>2</v>
          </cell>
          <cell r="F402">
            <v>18150000</v>
          </cell>
          <cell r="G402" t="str">
            <v>التأمين</v>
          </cell>
        </row>
        <row r="403">
          <cell r="A403" t="str">
            <v>JITC</v>
          </cell>
          <cell r="B403">
            <v>131023</v>
          </cell>
          <cell r="C403" t="str">
            <v>المركز الاردني للتجارة الدولية</v>
          </cell>
          <cell r="D403" t="str">
            <v>المركز الاردني</v>
          </cell>
          <cell r="E403">
            <v>2</v>
          </cell>
          <cell r="F403">
            <v>3400000</v>
          </cell>
          <cell r="G403" t="str">
            <v>الخدمات التجارية</v>
          </cell>
        </row>
        <row r="404">
          <cell r="A404" t="str">
            <v>JLGC</v>
          </cell>
          <cell r="B404">
            <v>131071</v>
          </cell>
          <cell r="C404" t="str">
            <v>الاردنية لضمان القروض</v>
          </cell>
          <cell r="D404" t="str">
            <v>ضمان القروض</v>
          </cell>
          <cell r="E404">
            <v>1</v>
          </cell>
          <cell r="F404">
            <v>29080310</v>
          </cell>
          <cell r="G404" t="str">
            <v>الخدمات المالية المتنوعة</v>
          </cell>
        </row>
        <row r="405">
          <cell r="A405" t="str">
            <v>JMRC</v>
          </cell>
          <cell r="B405">
            <v>131105</v>
          </cell>
          <cell r="C405" t="str">
            <v>الاردنية لاعادة تمويل الرهن العقاري</v>
          </cell>
          <cell r="D405" t="str">
            <v>اردنية للرهن العقاري</v>
          </cell>
          <cell r="E405">
            <v>2</v>
          </cell>
          <cell r="F405">
            <v>12500000</v>
          </cell>
          <cell r="G405" t="str">
            <v>الخدمات المالية المتنوعة</v>
          </cell>
        </row>
        <row r="406">
          <cell r="A406" t="str">
            <v>JNTH</v>
          </cell>
          <cell r="B406">
            <v>131076</v>
          </cell>
          <cell r="C406" t="str">
            <v>التجمعات لخدمات التغذية والاسكان</v>
          </cell>
          <cell r="D406" t="str">
            <v>التجمعات لخدمات التغذية والاسكان</v>
          </cell>
          <cell r="E406">
            <v>2</v>
          </cell>
          <cell r="F406">
            <v>10000000</v>
          </cell>
          <cell r="G406" t="str">
            <v>العقارات</v>
          </cell>
        </row>
        <row r="407">
          <cell r="A407" t="str">
            <v>JODA</v>
          </cell>
          <cell r="B407">
            <v>141004</v>
          </cell>
          <cell r="C407" t="str">
            <v>الآلبان الأردنية</v>
          </cell>
          <cell r="D407" t="str">
            <v>الآلبان الأردنية</v>
          </cell>
          <cell r="E407">
            <v>2</v>
          </cell>
          <cell r="F407">
            <v>4000000</v>
          </cell>
          <cell r="G407" t="str">
            <v>الأغذية و المشروبات</v>
          </cell>
        </row>
        <row r="408">
          <cell r="A408" t="str">
            <v>JOEP</v>
          </cell>
          <cell r="B408">
            <v>131004</v>
          </cell>
          <cell r="C408" t="str">
            <v>الكهرباء الاردنية</v>
          </cell>
          <cell r="D408" t="str">
            <v>الكهرباء الاردنية</v>
          </cell>
          <cell r="E408">
            <v>1</v>
          </cell>
          <cell r="F408">
            <v>91761444</v>
          </cell>
          <cell r="G408" t="str">
            <v>الطاقة و المنافع</v>
          </cell>
        </row>
        <row r="409">
          <cell r="A409" t="str">
            <v>JOFR</v>
          </cell>
          <cell r="B409">
            <v>121009</v>
          </cell>
          <cell r="C409" t="str">
            <v>الاردنية الفرنسية للتأمين</v>
          </cell>
          <cell r="D409" t="str">
            <v>الأردنية الفرنسية</v>
          </cell>
          <cell r="E409">
            <v>2</v>
          </cell>
          <cell r="F409">
            <v>9100000</v>
          </cell>
          <cell r="G409" t="str">
            <v>التأمين</v>
          </cell>
        </row>
        <row r="410">
          <cell r="A410" t="str">
            <v>JOHT</v>
          </cell>
          <cell r="B410">
            <v>131003</v>
          </cell>
          <cell r="C410" t="str">
            <v>الفنادق والسياحة الاردنية</v>
          </cell>
          <cell r="D410" t="str">
            <v>الفنادق والسياحة</v>
          </cell>
          <cell r="E410">
            <v>2</v>
          </cell>
          <cell r="F410">
            <v>10000000</v>
          </cell>
          <cell r="G410" t="str">
            <v>الفنادق و السياحة</v>
          </cell>
        </row>
        <row r="411">
          <cell r="A411" t="str">
            <v>JOIB</v>
          </cell>
          <cell r="B411">
            <v>111001</v>
          </cell>
          <cell r="C411" t="str">
            <v>البنك الإسلامي الأردني</v>
          </cell>
          <cell r="D411" t="str">
            <v>بنك الإسلامي الأردني</v>
          </cell>
          <cell r="E411">
            <v>1</v>
          </cell>
          <cell r="F411">
            <v>200000000</v>
          </cell>
          <cell r="G411" t="str">
            <v>البنوك</v>
          </cell>
        </row>
        <row r="412">
          <cell r="A412" t="str">
            <v>JOIN</v>
          </cell>
          <cell r="B412">
            <v>121004</v>
          </cell>
          <cell r="C412" t="str">
            <v>التأمين الاردنية</v>
          </cell>
          <cell r="D412" t="str">
            <v>التأمين الاردنية</v>
          </cell>
          <cell r="E412">
            <v>1</v>
          </cell>
          <cell r="F412">
            <v>30000000</v>
          </cell>
          <cell r="G412" t="str">
            <v>التأمين</v>
          </cell>
        </row>
        <row r="413">
          <cell r="A413" t="str">
            <v>JOIR</v>
          </cell>
          <cell r="B413">
            <v>141055</v>
          </cell>
          <cell r="C413" t="str">
            <v>الموارد الصناعية الأردنية</v>
          </cell>
          <cell r="D413" t="str">
            <v>الموارد الصناعية</v>
          </cell>
          <cell r="E413">
            <v>2</v>
          </cell>
          <cell r="F413">
            <v>6285649</v>
          </cell>
          <cell r="G413" t="str">
            <v>الصناعات الكيماوية</v>
          </cell>
        </row>
        <row r="414">
          <cell r="A414" t="str">
            <v>JOIT</v>
          </cell>
          <cell r="B414">
            <v>131039</v>
          </cell>
          <cell r="C414" t="str">
            <v>الثقة للاستثمارات الاردنية</v>
          </cell>
          <cell r="D414" t="str">
            <v>الثقة للاستثمارات</v>
          </cell>
          <cell r="E414">
            <v>2</v>
          </cell>
          <cell r="F414">
            <v>27255072</v>
          </cell>
          <cell r="G414" t="str">
            <v>الخدمات المالية المتنوعة</v>
          </cell>
        </row>
        <row r="415">
          <cell r="A415" t="str">
            <v>JOKB</v>
          </cell>
          <cell r="B415">
            <v>111002</v>
          </cell>
          <cell r="C415" t="str">
            <v>البنك الاردني الكويتي</v>
          </cell>
          <cell r="D415" t="str">
            <v>الأردني الكويتي</v>
          </cell>
          <cell r="E415">
            <v>1</v>
          </cell>
          <cell r="F415">
            <v>150000000</v>
          </cell>
          <cell r="G415" t="str">
            <v>البنوك</v>
          </cell>
        </row>
        <row r="416">
          <cell r="A416" t="str">
            <v>JOMC</v>
          </cell>
          <cell r="B416">
            <v>131252</v>
          </cell>
          <cell r="C416" t="str">
            <v>الأردنية للإدارة والاستشارات</v>
          </cell>
          <cell r="D416" t="str">
            <v>الأردنية للاستشارات</v>
          </cell>
          <cell r="E416">
            <v>2</v>
          </cell>
          <cell r="F416">
            <v>2500000</v>
          </cell>
          <cell r="G416" t="str">
            <v>الخدمات المالية المتنوعة</v>
          </cell>
        </row>
        <row r="417">
          <cell r="A417" t="str">
            <v>JOPH</v>
          </cell>
          <cell r="B417">
            <v>141018</v>
          </cell>
          <cell r="C417" t="str">
            <v>مناجم الفوسفات الاردنية</v>
          </cell>
          <cell r="D417" t="str">
            <v>الفوسفات</v>
          </cell>
          <cell r="E417">
            <v>1</v>
          </cell>
          <cell r="F417">
            <v>247500000</v>
          </cell>
          <cell r="G417" t="str">
            <v>الصناعات الاستخراجية والتعدينية</v>
          </cell>
        </row>
        <row r="418">
          <cell r="A418" t="str">
            <v>JOPI</v>
          </cell>
          <cell r="B418">
            <v>141019</v>
          </cell>
          <cell r="C418" t="str">
            <v>الاردنية لصناعة الأنابيب</v>
          </cell>
          <cell r="D418" t="str">
            <v>الأنابيب الأردنية</v>
          </cell>
          <cell r="E418">
            <v>2</v>
          </cell>
          <cell r="F418">
            <v>3575000</v>
          </cell>
          <cell r="G418" t="str">
            <v>الصناعات الهندسية و الانشائية</v>
          </cell>
        </row>
        <row r="419">
          <cell r="A419" t="str">
            <v>JOPT</v>
          </cell>
          <cell r="B419">
            <v>142041</v>
          </cell>
          <cell r="C419" t="str">
            <v>مصفاة البترول الأردنية /جوبترول</v>
          </cell>
          <cell r="D419" t="str">
            <v>مصفاة الاردن /جوبترول</v>
          </cell>
          <cell r="E419">
            <v>1</v>
          </cell>
          <cell r="F419">
            <v>100000000</v>
          </cell>
          <cell r="G419" t="str">
            <v>الطاقة و المنافع</v>
          </cell>
        </row>
        <row r="420">
          <cell r="A420" t="str">
            <v>JOST</v>
          </cell>
          <cell r="B420">
            <v>141070</v>
          </cell>
          <cell r="C420" t="str">
            <v>حديد الأردن</v>
          </cell>
          <cell r="D420" t="str">
            <v>حديد الأردن</v>
          </cell>
          <cell r="E420">
            <v>2</v>
          </cell>
          <cell r="F420">
            <v>35000000</v>
          </cell>
          <cell r="G420" t="str">
            <v>الصناعات الاستخراجية والتعدينية</v>
          </cell>
        </row>
        <row r="421">
          <cell r="A421" t="str">
            <v>JOTF</v>
          </cell>
          <cell r="B421">
            <v>131062</v>
          </cell>
          <cell r="C421" t="str">
            <v>التسهيلات التجارية الاردنية</v>
          </cell>
          <cell r="D421" t="str">
            <v>التسهيلات التجارية</v>
          </cell>
          <cell r="E421">
            <v>2</v>
          </cell>
          <cell r="F421">
            <v>16500000</v>
          </cell>
          <cell r="G421" t="str">
            <v>الخدمات التجارية</v>
          </cell>
        </row>
        <row r="422">
          <cell r="A422" t="str">
            <v>JOWM</v>
          </cell>
          <cell r="B422">
            <v>141014</v>
          </cell>
          <cell r="C422" t="str">
            <v>مصانع الآجواخ الاردنية</v>
          </cell>
          <cell r="D422" t="str">
            <v>الآجواخ الأردنية</v>
          </cell>
          <cell r="E422">
            <v>1</v>
          </cell>
          <cell r="F422">
            <v>15000000</v>
          </cell>
          <cell r="G422" t="str">
            <v>صناعات الملابس و الجلود و النسيج</v>
          </cell>
        </row>
        <row r="423">
          <cell r="A423" t="str">
            <v>JPPC</v>
          </cell>
          <cell r="B423">
            <v>141002</v>
          </cell>
          <cell r="C423" t="str">
            <v>الأردنية لتجهيز وتسويق الدواجن ومنتجاتها</v>
          </cell>
          <cell r="D423" t="str">
            <v>تسويق الدواجن</v>
          </cell>
          <cell r="E423">
            <v>2</v>
          </cell>
          <cell r="F423">
            <v>23558305</v>
          </cell>
          <cell r="G423" t="str">
            <v>الأغذية و المشروبات</v>
          </cell>
        </row>
        <row r="424">
          <cell r="A424" t="str">
            <v>JRCD</v>
          </cell>
          <cell r="B424">
            <v>131229</v>
          </cell>
          <cell r="C424" t="str">
            <v>العقارية الأردنية للتنمية</v>
          </cell>
          <cell r="D424" t="str">
            <v>العقارية الأردنية</v>
          </cell>
          <cell r="E424">
            <v>2</v>
          </cell>
          <cell r="F424">
            <v>34500000</v>
          </cell>
          <cell r="G424" t="str">
            <v>العقارات</v>
          </cell>
        </row>
        <row r="425">
          <cell r="A425" t="str">
            <v>JTEL</v>
          </cell>
          <cell r="B425">
            <v>131206</v>
          </cell>
          <cell r="C425" t="str">
            <v>الاتصالات الأردنية</v>
          </cell>
          <cell r="D425" t="str">
            <v>الاتصالات الأردنية</v>
          </cell>
          <cell r="E425">
            <v>1</v>
          </cell>
          <cell r="F425">
            <v>187500000</v>
          </cell>
          <cell r="G425" t="str">
            <v>التكنولوجيا و الإتصالات</v>
          </cell>
        </row>
        <row r="426">
          <cell r="A426" t="str">
            <v>JVOI</v>
          </cell>
          <cell r="B426">
            <v>141141</v>
          </cell>
          <cell r="C426" t="str">
            <v>مصانع الزيوت النباتية الأردنية</v>
          </cell>
          <cell r="D426" t="str">
            <v>الاردنية للزيوت</v>
          </cell>
          <cell r="E426">
            <v>2</v>
          </cell>
          <cell r="F426">
            <v>4000000</v>
          </cell>
          <cell r="G426" t="str">
            <v>الأغذية و المشروبات</v>
          </cell>
        </row>
        <row r="427">
          <cell r="A427" t="str">
            <v>KAFA</v>
          </cell>
          <cell r="B427">
            <v>131267</v>
          </cell>
          <cell r="C427" t="str">
            <v>الكفاءة للاستثمارات المالية والاقتصادية</v>
          </cell>
          <cell r="D427" t="str">
            <v>الكفاءة للاستثمارات</v>
          </cell>
          <cell r="E427">
            <v>2</v>
          </cell>
          <cell r="F427">
            <v>4000000</v>
          </cell>
          <cell r="G427" t="str">
            <v>الخدمات المالية المتنوعة</v>
          </cell>
        </row>
        <row r="428">
          <cell r="A428" t="str">
            <v>LEAS</v>
          </cell>
          <cell r="B428">
            <v>131264</v>
          </cell>
          <cell r="C428" t="str">
            <v>المتكاملة للتأجير التمويلي</v>
          </cell>
          <cell r="D428" t="str">
            <v>المتكاملة للتأجير التمويلي</v>
          </cell>
          <cell r="E428">
            <v>2</v>
          </cell>
          <cell r="F428">
            <v>15000000</v>
          </cell>
          <cell r="G428" t="str">
            <v>الخدمات التجارية</v>
          </cell>
        </row>
        <row r="429">
          <cell r="A429" t="str">
            <v>LEIN</v>
          </cell>
          <cell r="B429">
            <v>141015</v>
          </cell>
          <cell r="C429" t="str">
            <v>الطاقات الكامنة للاستثمارات</v>
          </cell>
          <cell r="D429" t="str">
            <v>الطاقات الكامنة</v>
          </cell>
          <cell r="E429">
            <v>2</v>
          </cell>
          <cell r="F429">
            <v>3750000</v>
          </cell>
          <cell r="G429" t="str">
            <v>العقارات</v>
          </cell>
        </row>
        <row r="430">
          <cell r="A430" t="str">
            <v>MALL</v>
          </cell>
          <cell r="B430">
            <v>131098</v>
          </cell>
          <cell r="C430" t="str">
            <v>الدولية للفنادق والاسواق التجارية</v>
          </cell>
          <cell r="D430" t="str">
            <v>الدولية للفنادق والاسواق</v>
          </cell>
          <cell r="E430">
            <v>2</v>
          </cell>
          <cell r="F430">
            <v>43200000</v>
          </cell>
          <cell r="G430" t="str">
            <v>الفنادق و السياحة</v>
          </cell>
        </row>
        <row r="431">
          <cell r="A431" t="str">
            <v>MANE</v>
          </cell>
          <cell r="B431">
            <v>131286</v>
          </cell>
          <cell r="C431" t="str">
            <v>آفاق للطاقة</v>
          </cell>
          <cell r="D431" t="str">
            <v>آفاق للطاقة</v>
          </cell>
          <cell r="E431">
            <v>1</v>
          </cell>
          <cell r="F431">
            <v>110000000</v>
          </cell>
          <cell r="G431" t="str">
            <v>الطاقة و المنافع</v>
          </cell>
        </row>
        <row r="432">
          <cell r="A432" t="str">
            <v>MBED</v>
          </cell>
          <cell r="B432">
            <v>141209</v>
          </cell>
          <cell r="C432" t="str">
            <v>العربية لصناعة المبيدات والأدوية البيطرية</v>
          </cell>
          <cell r="D432" t="str">
            <v>العربية للمبيدات</v>
          </cell>
          <cell r="E432">
            <v>1</v>
          </cell>
          <cell r="F432">
            <v>16500000</v>
          </cell>
          <cell r="G432" t="str">
            <v>الصناعات الكيماوية</v>
          </cell>
        </row>
        <row r="433">
          <cell r="A433" t="str">
            <v>MDGF</v>
          </cell>
          <cell r="B433">
            <v>121032</v>
          </cell>
          <cell r="C433" t="str">
            <v>المتوسط والخليج للتأمين-الأردن</v>
          </cell>
          <cell r="D433" t="str">
            <v>ميد غلف- الأردن</v>
          </cell>
          <cell r="E433">
            <v>2</v>
          </cell>
          <cell r="F433">
            <v>10000000</v>
          </cell>
          <cell r="G433" t="str">
            <v>التأمين</v>
          </cell>
        </row>
        <row r="434">
          <cell r="A434" t="str">
            <v>MDTR</v>
          </cell>
          <cell r="B434">
            <v>131035</v>
          </cell>
          <cell r="C434" t="str">
            <v>البحر المتوسط للاستثمارات السياحية</v>
          </cell>
          <cell r="D434" t="str">
            <v>البحر المتوسط</v>
          </cell>
          <cell r="E434">
            <v>2</v>
          </cell>
          <cell r="F434">
            <v>45000000</v>
          </cell>
          <cell r="G434" t="str">
            <v>الفنادق و السياحة</v>
          </cell>
        </row>
        <row r="435">
          <cell r="A435" t="str">
            <v>MEET</v>
          </cell>
          <cell r="B435">
            <v>131240</v>
          </cell>
          <cell r="C435" t="str">
            <v>ميثاق للاستثمارات العقارية</v>
          </cell>
          <cell r="D435" t="str">
            <v>ميثاق</v>
          </cell>
          <cell r="E435">
            <v>2</v>
          </cell>
          <cell r="F435">
            <v>9500000</v>
          </cell>
          <cell r="G435" t="str">
            <v>العقارات</v>
          </cell>
        </row>
        <row r="436">
          <cell r="A436" t="str">
            <v>MEHC</v>
          </cell>
          <cell r="B436">
            <v>131293</v>
          </cell>
          <cell r="C436" t="str">
            <v>الشرق الأوسط القابضة</v>
          </cell>
          <cell r="D436" t="str">
            <v>الشرق الأوسط</v>
          </cell>
          <cell r="E436">
            <v>2</v>
          </cell>
          <cell r="F436">
            <v>17038971</v>
          </cell>
          <cell r="G436" t="str">
            <v>الخدمات المالية المتنوعة</v>
          </cell>
        </row>
        <row r="437">
          <cell r="A437" t="str">
            <v>MEIN</v>
          </cell>
          <cell r="B437">
            <v>121002</v>
          </cell>
          <cell r="C437" t="str">
            <v>الشرق الأوسط للتأمين</v>
          </cell>
          <cell r="D437" t="str">
            <v>الشرق الأوسط للتأمين</v>
          </cell>
          <cell r="E437">
            <v>2</v>
          </cell>
          <cell r="F437">
            <v>22050000</v>
          </cell>
          <cell r="G437" t="str">
            <v>التأمين</v>
          </cell>
        </row>
        <row r="438">
          <cell r="A438" t="str">
            <v>MHFZ</v>
          </cell>
          <cell r="B438">
            <v>131018</v>
          </cell>
          <cell r="C438" t="str">
            <v>المحفظة الوطنية للاوراق المالية</v>
          </cell>
          <cell r="D438" t="str">
            <v>المحفظة الوطنية</v>
          </cell>
          <cell r="E438">
            <v>2</v>
          </cell>
          <cell r="F438">
            <v>4250000</v>
          </cell>
          <cell r="G438" t="str">
            <v>الخدمات المالية المتنوعة</v>
          </cell>
        </row>
        <row r="439">
          <cell r="A439" t="str">
            <v>MIIC</v>
          </cell>
          <cell r="B439">
            <v>121013</v>
          </cell>
          <cell r="C439" t="str">
            <v>المنارة الإسلامية للتأمين</v>
          </cell>
          <cell r="D439" t="str">
            <v>المنارة الإسلامية</v>
          </cell>
          <cell r="E439">
            <v>2</v>
          </cell>
          <cell r="F439">
            <v>5600000</v>
          </cell>
          <cell r="G439" t="str">
            <v>التأمين</v>
          </cell>
        </row>
        <row r="440">
          <cell r="A440" t="str">
            <v>MSFT</v>
          </cell>
          <cell r="B440">
            <v>131243</v>
          </cell>
          <cell r="C440" t="str">
            <v>مسافات للنقل المتخصص</v>
          </cell>
          <cell r="D440" t="str">
            <v>مسافات للنقل</v>
          </cell>
          <cell r="E440">
            <v>1</v>
          </cell>
          <cell r="F440">
            <v>18500000</v>
          </cell>
          <cell r="G440" t="str">
            <v>النقل</v>
          </cell>
        </row>
        <row r="441">
          <cell r="A441" t="str">
            <v>MSKN</v>
          </cell>
          <cell r="B441">
            <v>131284</v>
          </cell>
          <cell r="C441" t="str">
            <v>مساكن الأردن لتطوير الأراضي والمشاريع الصناعية</v>
          </cell>
          <cell r="D441" t="str">
            <v>مساكن</v>
          </cell>
          <cell r="E441">
            <v>2</v>
          </cell>
          <cell r="F441">
            <v>8435100</v>
          </cell>
          <cell r="G441" t="str">
            <v>العقارات</v>
          </cell>
        </row>
        <row r="442">
          <cell r="A442" t="str">
            <v>NAAI</v>
          </cell>
          <cell r="B442">
            <v>121021</v>
          </cell>
          <cell r="C442" t="str">
            <v>التأمين الوطنية</v>
          </cell>
          <cell r="D442" t="str">
            <v>التأمين الوطنية</v>
          </cell>
          <cell r="E442">
            <v>1</v>
          </cell>
          <cell r="F442">
            <v>8000000</v>
          </cell>
          <cell r="G442" t="str">
            <v>التأمين</v>
          </cell>
        </row>
        <row r="443">
          <cell r="A443" t="str">
            <v>NAPT</v>
          </cell>
          <cell r="B443">
            <v>141103</v>
          </cell>
          <cell r="C443" t="str">
            <v>البترول الوطنية</v>
          </cell>
          <cell r="D443" t="str">
            <v>البترول الوطنية</v>
          </cell>
          <cell r="E443">
            <v>2</v>
          </cell>
          <cell r="F443">
            <v>15000000</v>
          </cell>
          <cell r="G443" t="str">
            <v>الطاقة و المنافع</v>
          </cell>
        </row>
        <row r="444">
          <cell r="A444" t="str">
            <v>NAQL</v>
          </cell>
          <cell r="B444">
            <v>131208</v>
          </cell>
          <cell r="C444" t="str">
            <v>المقايضة للنقل والاستثمار</v>
          </cell>
          <cell r="D444" t="str">
            <v>المقايضة للنقل</v>
          </cell>
          <cell r="E444">
            <v>2</v>
          </cell>
          <cell r="F444">
            <v>13915000</v>
          </cell>
          <cell r="G444" t="str">
            <v>النقل</v>
          </cell>
        </row>
        <row r="445">
          <cell r="A445" t="str">
            <v>NAST</v>
          </cell>
          <cell r="B445">
            <v>141011</v>
          </cell>
          <cell r="C445" t="str">
            <v>الوطنية لصناعة الصلب</v>
          </cell>
          <cell r="D445" t="str">
            <v>الصلب</v>
          </cell>
          <cell r="E445">
            <v>2</v>
          </cell>
          <cell r="F445">
            <v>2941768</v>
          </cell>
          <cell r="G445" t="str">
            <v>الصناعات الاستخراجية والتعدينية</v>
          </cell>
        </row>
        <row r="446">
          <cell r="A446" t="str">
            <v>NATA</v>
          </cell>
          <cell r="B446">
            <v>141091</v>
          </cell>
          <cell r="C446" t="str">
            <v>الوطنية لصناعات الالمنيوم</v>
          </cell>
          <cell r="D446" t="str">
            <v>الوطنية للالمنيوم</v>
          </cell>
          <cell r="E446">
            <v>1</v>
          </cell>
          <cell r="F446">
            <v>9000000</v>
          </cell>
          <cell r="G446" t="str">
            <v>الصناعات الاستخراجية والتعدينية</v>
          </cell>
        </row>
        <row r="447">
          <cell r="A447" t="str">
            <v>NCCO</v>
          </cell>
          <cell r="B447">
            <v>141224</v>
          </cell>
          <cell r="C447" t="str">
            <v>اسمنت الشمالية</v>
          </cell>
          <cell r="D447" t="str">
            <v>الشمالية</v>
          </cell>
          <cell r="E447">
            <v>1</v>
          </cell>
          <cell r="F447">
            <v>55000000</v>
          </cell>
          <cell r="G447" t="str">
            <v>الصناعات الاستخراجية والتعدينية</v>
          </cell>
        </row>
        <row r="448">
          <cell r="A448" t="str">
            <v>NCMD</v>
          </cell>
          <cell r="B448">
            <v>131245</v>
          </cell>
          <cell r="C448" t="str">
            <v>نور كابيتال ماركتس للإستثمارات المتعددة</v>
          </cell>
          <cell r="D448" t="str">
            <v>نور كابيتال</v>
          </cell>
          <cell r="E448">
            <v>2</v>
          </cell>
          <cell r="F448">
            <v>1000000</v>
          </cell>
          <cell r="G448" t="str">
            <v>العقارات</v>
          </cell>
        </row>
        <row r="449">
          <cell r="A449" t="str">
            <v>NDAR</v>
          </cell>
          <cell r="B449">
            <v>141094</v>
          </cell>
          <cell r="C449" t="str">
            <v>دار الغذاء</v>
          </cell>
          <cell r="D449" t="str">
            <v>دار الغذاء</v>
          </cell>
          <cell r="E449">
            <v>2</v>
          </cell>
          <cell r="F449">
            <v>11615912</v>
          </cell>
          <cell r="G449" t="str">
            <v>الأغذية و المشروبات</v>
          </cell>
        </row>
        <row r="450">
          <cell r="A450" t="str">
            <v>NOTI</v>
          </cell>
          <cell r="B450">
            <v>131238</v>
          </cell>
          <cell r="C450" t="str">
            <v>نوبار للتجارة والاستثمار</v>
          </cell>
          <cell r="D450" t="str">
            <v>نوبار للتجارة</v>
          </cell>
          <cell r="E450">
            <v>2</v>
          </cell>
          <cell r="F450">
            <v>1100070</v>
          </cell>
          <cell r="G450" t="str">
            <v>الخدمات التجارية</v>
          </cell>
        </row>
        <row r="451">
          <cell r="A451" t="str">
            <v>OFTC</v>
          </cell>
          <cell r="B451">
            <v>131228</v>
          </cell>
          <cell r="C451" t="str">
            <v>مجموعة أوفتك القابضة</v>
          </cell>
          <cell r="D451" t="str">
            <v>أوفتك القابضة</v>
          </cell>
          <cell r="E451">
            <v>2</v>
          </cell>
          <cell r="F451">
            <v>34850000</v>
          </cell>
          <cell r="G451" t="str">
            <v>الخدمات التجارية</v>
          </cell>
        </row>
        <row r="452">
          <cell r="A452" t="str">
            <v>PEDC</v>
          </cell>
          <cell r="B452">
            <v>131221</v>
          </cell>
          <cell r="C452" t="str">
            <v>البتراء للتعليم</v>
          </cell>
          <cell r="D452" t="str">
            <v>البتراء للتعليم</v>
          </cell>
          <cell r="E452">
            <v>1</v>
          </cell>
          <cell r="F452">
            <v>20000000</v>
          </cell>
          <cell r="G452" t="str">
            <v>الخدمات التعليمية</v>
          </cell>
        </row>
        <row r="453">
          <cell r="A453" t="str">
            <v>PHIL</v>
          </cell>
          <cell r="B453">
            <v>141219</v>
          </cell>
          <cell r="C453" t="str">
            <v>فيلادلفيا لصناعة الأدوية</v>
          </cell>
          <cell r="D453" t="str">
            <v>فيلادلفيا للأدوية</v>
          </cell>
          <cell r="E453">
            <v>1</v>
          </cell>
          <cell r="F453">
            <v>7500000</v>
          </cell>
          <cell r="G453" t="str">
            <v>الأدوية و الصناعات الطبية</v>
          </cell>
        </row>
        <row r="454">
          <cell r="A454" t="str">
            <v>PHNX</v>
          </cell>
          <cell r="B454">
            <v>131239</v>
          </cell>
          <cell r="C454" t="str">
            <v>فينيكس العربية القابضة</v>
          </cell>
          <cell r="D454" t="str">
            <v>فينيكس القابضة</v>
          </cell>
          <cell r="E454">
            <v>2</v>
          </cell>
          <cell r="F454">
            <v>86840292</v>
          </cell>
          <cell r="G454" t="str">
            <v>العقارات</v>
          </cell>
        </row>
        <row r="455">
          <cell r="A455" t="str">
            <v>PIEC</v>
          </cell>
          <cell r="B455">
            <v>131222</v>
          </cell>
          <cell r="C455" t="str">
            <v>فيلادلفيا الدولية للاستثمارات التعليمية</v>
          </cell>
          <cell r="D455" t="str">
            <v>جامعة فيلادلفيا</v>
          </cell>
          <cell r="E455">
            <v>1</v>
          </cell>
          <cell r="F455">
            <v>15000000</v>
          </cell>
          <cell r="G455" t="str">
            <v>الخدمات التعليمية</v>
          </cell>
        </row>
        <row r="456">
          <cell r="A456" t="str">
            <v>PROF</v>
          </cell>
          <cell r="B456">
            <v>131270</v>
          </cell>
          <cell r="C456" t="str">
            <v>المهنية للاستثمارات العقارية والإسكان</v>
          </cell>
          <cell r="D456" t="str">
            <v>المهنية</v>
          </cell>
          <cell r="E456">
            <v>2</v>
          </cell>
          <cell r="F456">
            <v>27367296</v>
          </cell>
          <cell r="G456" t="str">
            <v>العقارات</v>
          </cell>
        </row>
        <row r="457">
          <cell r="A457" t="str">
            <v>REDV</v>
          </cell>
          <cell r="B457">
            <v>131087</v>
          </cell>
          <cell r="C457" t="str">
            <v>تطوير العقارات</v>
          </cell>
          <cell r="D457" t="str">
            <v>تطوير العقارات</v>
          </cell>
          <cell r="E457">
            <v>2</v>
          </cell>
          <cell r="F457">
            <v>49625545</v>
          </cell>
          <cell r="G457" t="str">
            <v>العقارات</v>
          </cell>
        </row>
        <row r="458">
          <cell r="A458" t="str">
            <v>RICS</v>
          </cell>
          <cell r="B458">
            <v>131261</v>
          </cell>
          <cell r="C458" t="str">
            <v>الركائز للاستثمار</v>
          </cell>
          <cell r="D458" t="str">
            <v>الركائز</v>
          </cell>
          <cell r="E458">
            <v>2</v>
          </cell>
          <cell r="F458">
            <v>11000000</v>
          </cell>
          <cell r="G458" t="str">
            <v>الفنادق و السياحة</v>
          </cell>
        </row>
        <row r="459">
          <cell r="A459" t="str">
            <v>RMCC</v>
          </cell>
          <cell r="B459">
            <v>141065</v>
          </cell>
          <cell r="C459" t="str">
            <v>الباطون الجاهز والتوريدات الانشائية</v>
          </cell>
          <cell r="D459" t="str">
            <v>الباطون الجاهز</v>
          </cell>
          <cell r="E459">
            <v>1</v>
          </cell>
          <cell r="F459">
            <v>25000000</v>
          </cell>
          <cell r="G459" t="str">
            <v>الصناعات الهندسية و الانشائية</v>
          </cell>
        </row>
        <row r="460">
          <cell r="A460" t="str">
            <v>RUMI</v>
          </cell>
          <cell r="B460">
            <v>131289</v>
          </cell>
          <cell r="C460" t="str">
            <v>رم للوساطة المالية</v>
          </cell>
          <cell r="D460" t="str">
            <v>رم للوساطة</v>
          </cell>
          <cell r="E460">
            <v>2</v>
          </cell>
          <cell r="F460">
            <v>4000000</v>
          </cell>
          <cell r="G460" t="str">
            <v>الخدمات المالية المتنوعة</v>
          </cell>
        </row>
        <row r="461">
          <cell r="A461" t="str">
            <v>SABK</v>
          </cell>
          <cell r="B461">
            <v>131275</v>
          </cell>
          <cell r="C461" t="str">
            <v>سبائك للاستثمار</v>
          </cell>
          <cell r="D461" t="str">
            <v>سبائك</v>
          </cell>
          <cell r="E461">
            <v>2</v>
          </cell>
          <cell r="F461">
            <v>6000000</v>
          </cell>
          <cell r="G461" t="str">
            <v>الخدمات المالية المتنوعة</v>
          </cell>
        </row>
        <row r="462">
          <cell r="A462" t="str">
            <v>SALM</v>
          </cell>
          <cell r="B462">
            <v>131260</v>
          </cell>
          <cell r="C462" t="str">
            <v>حدائق بابل المعلقة للاستثمارات</v>
          </cell>
          <cell r="D462" t="str">
            <v>حدائق بابل</v>
          </cell>
          <cell r="E462">
            <v>2</v>
          </cell>
          <cell r="F462">
            <v>2000000</v>
          </cell>
          <cell r="G462" t="str">
            <v>الخدمات المالية المتنوعة</v>
          </cell>
        </row>
        <row r="463">
          <cell r="A463" t="str">
            <v>SANA</v>
          </cell>
          <cell r="B463">
            <v>131249</v>
          </cell>
          <cell r="C463" t="str">
            <v>السنابل الدولية للاستثمارات الاسلامية (القابضة)</v>
          </cell>
          <cell r="D463" t="str">
            <v>السنابل الدولية</v>
          </cell>
          <cell r="E463">
            <v>2</v>
          </cell>
          <cell r="F463">
            <v>20000000</v>
          </cell>
          <cell r="G463" t="str">
            <v>الخدمات المالية المتنوعة</v>
          </cell>
        </row>
        <row r="464">
          <cell r="A464" t="str">
            <v>SHBA</v>
          </cell>
          <cell r="B464">
            <v>141223</v>
          </cell>
          <cell r="C464" t="str">
            <v>سبأ للطاقة المتجددة</v>
          </cell>
          <cell r="D464" t="str">
            <v>سبأ</v>
          </cell>
          <cell r="E464">
            <v>2</v>
          </cell>
          <cell r="F464">
            <v>625000</v>
          </cell>
          <cell r="G464" t="str">
            <v>الطاقة و المنافع</v>
          </cell>
        </row>
        <row r="465">
          <cell r="A465" t="str">
            <v>SHIP</v>
          </cell>
          <cell r="B465">
            <v>131012</v>
          </cell>
          <cell r="C465" t="str">
            <v>الخطوط البحرية الوطنية الاردنية</v>
          </cell>
          <cell r="D465" t="str">
            <v>الخطوط البحرية</v>
          </cell>
          <cell r="E465">
            <v>1</v>
          </cell>
          <cell r="F465">
            <v>15000000</v>
          </cell>
          <cell r="G465" t="str">
            <v>النقل</v>
          </cell>
        </row>
        <row r="466">
          <cell r="A466" t="str">
            <v>SHRA</v>
          </cell>
          <cell r="B466">
            <v>131278</v>
          </cell>
          <cell r="C466" t="str">
            <v>الشراع للتطوير العقاري والاستثمارات</v>
          </cell>
          <cell r="D466" t="str">
            <v>شراع</v>
          </cell>
          <cell r="E466">
            <v>2</v>
          </cell>
          <cell r="F466">
            <v>15536535</v>
          </cell>
          <cell r="G466" t="str">
            <v>العقارات</v>
          </cell>
        </row>
        <row r="467">
          <cell r="A467" t="str">
            <v>SIBK</v>
          </cell>
          <cell r="B467">
            <v>111006</v>
          </cell>
          <cell r="C467" t="str">
            <v>بنك صفوة الإسلامي</v>
          </cell>
          <cell r="D467" t="str">
            <v>بنك صفوة الإسلامي</v>
          </cell>
          <cell r="E467">
            <v>1</v>
          </cell>
          <cell r="F467">
            <v>100000000</v>
          </cell>
          <cell r="G467" t="str">
            <v>البنوك</v>
          </cell>
        </row>
        <row r="468">
          <cell r="A468" t="str">
            <v>SIJC</v>
          </cell>
          <cell r="B468">
            <v>131086</v>
          </cell>
          <cell r="C468" t="str">
            <v>الأردنية للاستثمارات المتخصصة</v>
          </cell>
          <cell r="D468" t="str">
            <v>الاستثمارات المتخصصة</v>
          </cell>
          <cell r="E468">
            <v>2</v>
          </cell>
          <cell r="F468">
            <v>1440000</v>
          </cell>
          <cell r="G468" t="str">
            <v>العقارات</v>
          </cell>
        </row>
        <row r="469">
          <cell r="A469" t="str">
            <v>SITT</v>
          </cell>
          <cell r="B469">
            <v>131034</v>
          </cell>
          <cell r="C469" t="str">
            <v>السلام الدولية للنقل والتجارة</v>
          </cell>
          <cell r="D469" t="str">
            <v>السلام للنقل</v>
          </cell>
          <cell r="E469">
            <v>1</v>
          </cell>
          <cell r="F469">
            <v>18000000</v>
          </cell>
          <cell r="G469" t="str">
            <v>النقل</v>
          </cell>
        </row>
        <row r="470">
          <cell r="A470" t="str">
            <v>SNRA</v>
          </cell>
          <cell r="B470">
            <v>141222</v>
          </cell>
          <cell r="C470" t="str">
            <v>سنيورة للصناعات الغذائية</v>
          </cell>
          <cell r="D470" t="str">
            <v>سنيورة</v>
          </cell>
          <cell r="E470">
            <v>2</v>
          </cell>
          <cell r="F470">
            <v>28000000</v>
          </cell>
          <cell r="G470" t="str">
            <v>الأغذية و المشروبات</v>
          </cell>
        </row>
        <row r="471">
          <cell r="A471" t="str">
            <v>SPIC</v>
          </cell>
          <cell r="B471">
            <v>131077</v>
          </cell>
          <cell r="C471" t="str">
            <v>التجمعات الاستثمارية المتخصصة</v>
          </cell>
          <cell r="D471" t="str">
            <v>التجمعات الاستثمارية</v>
          </cell>
          <cell r="E471">
            <v>2</v>
          </cell>
          <cell r="F471">
            <v>8100000</v>
          </cell>
          <cell r="G471" t="str">
            <v>العقارات</v>
          </cell>
        </row>
        <row r="472">
          <cell r="A472" t="str">
            <v>SPTI</v>
          </cell>
          <cell r="B472">
            <v>131081</v>
          </cell>
          <cell r="C472" t="str">
            <v>المتخصصة للتجارة والاستثمارات</v>
          </cell>
          <cell r="D472" t="str">
            <v>المتخصصة للتجارة</v>
          </cell>
          <cell r="E472">
            <v>2</v>
          </cell>
          <cell r="F472">
            <v>1000000</v>
          </cell>
          <cell r="G472" t="str">
            <v>الخدمات التجارية</v>
          </cell>
        </row>
        <row r="473">
          <cell r="A473" t="str">
            <v>SURA</v>
          </cell>
          <cell r="B473">
            <v>131283</v>
          </cell>
          <cell r="C473" t="str">
            <v>سُرى للتنمية والاستثمار</v>
          </cell>
          <cell r="D473" t="str">
            <v>سُرى</v>
          </cell>
          <cell r="E473">
            <v>2</v>
          </cell>
          <cell r="F473">
            <v>3182121</v>
          </cell>
          <cell r="G473" t="str">
            <v>الفنادق و السياحة</v>
          </cell>
        </row>
        <row r="474">
          <cell r="A474" t="str">
            <v>TAJM</v>
          </cell>
          <cell r="B474">
            <v>131019</v>
          </cell>
          <cell r="C474" t="str">
            <v>التجمعات للمشاريع السياحية</v>
          </cell>
          <cell r="D474" t="str">
            <v>التجمعات للمشاريع السياحية</v>
          </cell>
          <cell r="E474">
            <v>2</v>
          </cell>
          <cell r="F474">
            <v>93000000</v>
          </cell>
          <cell r="G474" t="str">
            <v>العقارات</v>
          </cell>
        </row>
        <row r="475">
          <cell r="A475" t="str">
            <v>THBK</v>
          </cell>
          <cell r="B475">
            <v>111004</v>
          </cell>
          <cell r="C475" t="str">
            <v>بنك الاسكان للتجارة والتمويل</v>
          </cell>
          <cell r="D475" t="str">
            <v>بنك الاسكان</v>
          </cell>
          <cell r="E475">
            <v>1</v>
          </cell>
          <cell r="F475">
            <v>315000000</v>
          </cell>
          <cell r="G475" t="str">
            <v>البنوك</v>
          </cell>
        </row>
        <row r="476">
          <cell r="A476" t="str">
            <v>THDI</v>
          </cell>
          <cell r="B476">
            <v>131265</v>
          </cell>
          <cell r="C476" t="str">
            <v>التحديث للاستثمارات العقارية</v>
          </cell>
          <cell r="D476" t="str">
            <v>التحديث</v>
          </cell>
          <cell r="E476">
            <v>2</v>
          </cell>
          <cell r="F476">
            <v>2300000</v>
          </cell>
          <cell r="G476" t="str">
            <v>العقارات</v>
          </cell>
        </row>
        <row r="477">
          <cell r="A477" t="str">
            <v>THMA</v>
          </cell>
          <cell r="B477">
            <v>131268</v>
          </cell>
          <cell r="C477" t="str">
            <v>تهامة للاستثمارات المالية</v>
          </cell>
          <cell r="D477" t="str">
            <v>تهامة للاستثمارات</v>
          </cell>
          <cell r="E477">
            <v>2</v>
          </cell>
          <cell r="F477">
            <v>3240000</v>
          </cell>
          <cell r="G477" t="str">
            <v>الخدمات المالية المتنوعة</v>
          </cell>
        </row>
        <row r="478">
          <cell r="A478" t="str">
            <v>TIIC</v>
          </cell>
          <cell r="B478">
            <v>121025</v>
          </cell>
          <cell r="C478" t="str">
            <v>التأمين الاسلامية</v>
          </cell>
          <cell r="D478" t="str">
            <v>التأمين الاسلامية</v>
          </cell>
          <cell r="E478">
            <v>1</v>
          </cell>
          <cell r="F478">
            <v>15000000</v>
          </cell>
          <cell r="G478" t="str">
            <v>التأمين</v>
          </cell>
        </row>
        <row r="479">
          <cell r="A479" t="str">
            <v>TRUK</v>
          </cell>
          <cell r="B479">
            <v>131290</v>
          </cell>
          <cell r="C479" t="str">
            <v>العبور للشحن والنقل</v>
          </cell>
          <cell r="D479" t="str">
            <v>العبور</v>
          </cell>
          <cell r="E479">
            <v>2</v>
          </cell>
          <cell r="F479">
            <v>555000</v>
          </cell>
          <cell r="G479" t="str">
            <v>النقل</v>
          </cell>
        </row>
        <row r="480">
          <cell r="A480" t="str">
            <v>UBSI</v>
          </cell>
          <cell r="B480">
            <v>111007</v>
          </cell>
          <cell r="C480" t="str">
            <v>بنك الإتحاد</v>
          </cell>
          <cell r="D480" t="str">
            <v>بنك الإتحاد</v>
          </cell>
          <cell r="E480">
            <v>1</v>
          </cell>
          <cell r="F480">
            <v>200000000</v>
          </cell>
          <cell r="G480" t="str">
            <v>البنوك</v>
          </cell>
        </row>
        <row r="481">
          <cell r="A481" t="str">
            <v>UCFI</v>
          </cell>
          <cell r="B481">
            <v>131090</v>
          </cell>
          <cell r="C481" t="str">
            <v>المتحدة للاستثمارات المالية</v>
          </cell>
          <cell r="D481" t="str">
            <v>المتحدة المالية</v>
          </cell>
          <cell r="E481">
            <v>2</v>
          </cell>
          <cell r="F481">
            <v>10000000</v>
          </cell>
          <cell r="G481" t="str">
            <v>الخدمات المالية المتنوعة</v>
          </cell>
        </row>
        <row r="482">
          <cell r="A482" t="str">
            <v>UCIC</v>
          </cell>
          <cell r="B482">
            <v>141215</v>
          </cell>
          <cell r="C482" t="str">
            <v>مصانع الكابلات المتحدة</v>
          </cell>
          <cell r="D482" t="str">
            <v>الكابلات المتحدة</v>
          </cell>
          <cell r="E482">
            <v>2</v>
          </cell>
          <cell r="F482">
            <v>35000000</v>
          </cell>
          <cell r="G482" t="str">
            <v>الصناعات الكهربائية</v>
          </cell>
        </row>
        <row r="483">
          <cell r="A483" t="str">
            <v>UINV</v>
          </cell>
          <cell r="B483">
            <v>131069</v>
          </cell>
          <cell r="C483" t="str">
            <v>الاتحاد للاستثمارات المالية</v>
          </cell>
          <cell r="D483" t="str">
            <v>الاتحاد للاستثمارات</v>
          </cell>
          <cell r="E483">
            <v>2</v>
          </cell>
          <cell r="F483">
            <v>40000000</v>
          </cell>
          <cell r="G483" t="str">
            <v>الخدمات المالية المتنوعة</v>
          </cell>
        </row>
        <row r="484">
          <cell r="A484" t="str">
            <v>ULDC</v>
          </cell>
          <cell r="B484">
            <v>131073</v>
          </cell>
          <cell r="C484" t="str">
            <v>الاتحاد لتطوير الاراضي</v>
          </cell>
          <cell r="D484" t="str">
            <v>تطوير الاراضي</v>
          </cell>
          <cell r="E484">
            <v>2</v>
          </cell>
          <cell r="F484">
            <v>42065129</v>
          </cell>
          <cell r="G484" t="str">
            <v>العقارات</v>
          </cell>
        </row>
        <row r="485">
          <cell r="A485" t="str">
            <v>UMIC</v>
          </cell>
          <cell r="B485">
            <v>141052</v>
          </cell>
          <cell r="C485" t="str">
            <v>العالمية الحديثة للزيوت النباتية</v>
          </cell>
          <cell r="D485" t="str">
            <v>العالمية للزيوت</v>
          </cell>
          <cell r="E485">
            <v>1</v>
          </cell>
          <cell r="F485">
            <v>6000000</v>
          </cell>
          <cell r="G485" t="str">
            <v>الأغذية و المشروبات</v>
          </cell>
        </row>
        <row r="486">
          <cell r="A486" t="str">
            <v>UNAI</v>
          </cell>
          <cell r="B486">
            <v>131247</v>
          </cell>
          <cell r="C486" t="str">
            <v>اتحاد المستثمرون العرب للتطوير العقاري</v>
          </cell>
          <cell r="D486" t="str">
            <v>اتحاد المستثمرون</v>
          </cell>
          <cell r="E486">
            <v>2</v>
          </cell>
          <cell r="F486">
            <v>3000000</v>
          </cell>
          <cell r="G486" t="str">
            <v>العقارات</v>
          </cell>
        </row>
        <row r="487">
          <cell r="A487" t="str">
            <v>UNIN</v>
          </cell>
          <cell r="B487">
            <v>121008</v>
          </cell>
          <cell r="C487" t="str">
            <v>المتحدة للتأمين</v>
          </cell>
          <cell r="D487" t="str">
            <v>المتحدة للتأمين</v>
          </cell>
          <cell r="E487">
            <v>1</v>
          </cell>
          <cell r="F487">
            <v>8000000</v>
          </cell>
          <cell r="G487" t="str">
            <v>التأمين</v>
          </cell>
        </row>
        <row r="488">
          <cell r="A488" t="str">
            <v>UTOB</v>
          </cell>
          <cell r="B488">
            <v>141074</v>
          </cell>
          <cell r="C488" t="str">
            <v>مصانع الاتحاد لانتاج التبغ والسجائر</v>
          </cell>
          <cell r="D488" t="str">
            <v>الاتحاد للسجائر</v>
          </cell>
          <cell r="E488">
            <v>2</v>
          </cell>
          <cell r="F488">
            <v>16963089</v>
          </cell>
          <cell r="G488" t="str">
            <v>التبغ والسجائر</v>
          </cell>
        </row>
        <row r="489">
          <cell r="A489" t="str">
            <v>VFED</v>
          </cell>
          <cell r="B489">
            <v>131011</v>
          </cell>
          <cell r="C489" t="str">
            <v>الشامخة للاستثمارات العقارية والمالية</v>
          </cell>
          <cell r="D489" t="str">
            <v>الشامخة العقارية</v>
          </cell>
          <cell r="E489">
            <v>2</v>
          </cell>
          <cell r="F489">
            <v>1200000</v>
          </cell>
          <cell r="G489" t="str">
            <v>العقارات</v>
          </cell>
        </row>
        <row r="490">
          <cell r="A490" t="str">
            <v>WIVA</v>
          </cell>
          <cell r="B490">
            <v>131235</v>
          </cell>
          <cell r="C490" t="str">
            <v>وادي الشتا للاستثمارات السياحية</v>
          </cell>
          <cell r="D490" t="str">
            <v>وادي الشتا</v>
          </cell>
          <cell r="E490">
            <v>2</v>
          </cell>
          <cell r="F490">
            <v>9033938</v>
          </cell>
          <cell r="G490" t="str">
            <v>الفنادق و السياحة</v>
          </cell>
        </row>
        <row r="491">
          <cell r="A491" t="str">
            <v>WOOL</v>
          </cell>
          <cell r="B491">
            <v>141031</v>
          </cell>
          <cell r="C491" t="str">
            <v>عقاري للصناعات والاستثمارات العقارية</v>
          </cell>
          <cell r="D491" t="str">
            <v>عقاري</v>
          </cell>
          <cell r="E491">
            <v>2</v>
          </cell>
          <cell r="F491">
            <v>500000</v>
          </cell>
          <cell r="G491" t="str">
            <v>الخدمات المالية المتنوعة</v>
          </cell>
        </row>
        <row r="492">
          <cell r="A492" t="str">
            <v>ZARA</v>
          </cell>
          <cell r="B492">
            <v>131067</v>
          </cell>
          <cell r="C492" t="str">
            <v>زارة للاستثمار القابضة</v>
          </cell>
          <cell r="D492" t="str">
            <v>زارة للاستثمار</v>
          </cell>
          <cell r="E492">
            <v>2</v>
          </cell>
          <cell r="F492">
            <v>145000000</v>
          </cell>
          <cell r="G492" t="str">
            <v>الفنادق و السياحة</v>
          </cell>
        </row>
        <row r="493">
          <cell r="A493" t="str">
            <v>ZEIC</v>
          </cell>
          <cell r="B493">
            <v>131051</v>
          </cell>
          <cell r="C493" t="str">
            <v>الزرقاء للتعليم والاستثمار</v>
          </cell>
          <cell r="D493" t="str">
            <v>الزرقاء للتعليم</v>
          </cell>
          <cell r="E493">
            <v>1</v>
          </cell>
          <cell r="F493">
            <v>16500000</v>
          </cell>
          <cell r="G493" t="str">
            <v>الخدمات التعليمية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workbookViewId="0">
      <selection activeCell="M1" sqref="M1"/>
    </sheetView>
  </sheetViews>
  <sheetFormatPr defaultRowHeight="14.25" x14ac:dyDescent="0.2"/>
  <cols>
    <col min="1" max="2" width="7.125" customWidth="1"/>
    <col min="3" max="3" width="9.875" bestFit="1" customWidth="1"/>
    <col min="4" max="4" width="11.75" customWidth="1"/>
    <col min="5" max="5" width="10.125" bestFit="1" customWidth="1"/>
    <col min="7" max="7" width="9.875" bestFit="1" customWidth="1"/>
    <col min="8" max="8" width="10.375" bestFit="1" customWidth="1"/>
    <col min="9" max="9" width="10" bestFit="1" customWidth="1"/>
    <col min="13" max="13" width="10.75" bestFit="1" customWidth="1"/>
    <col min="14" max="14" width="10.25" bestFit="1" customWidth="1"/>
    <col min="16" max="16" width="13.75" bestFit="1" customWidth="1"/>
    <col min="17" max="17" width="13" bestFit="1" customWidth="1"/>
    <col min="18" max="18" width="17.875" bestFit="1" customWidth="1"/>
    <col min="19" max="19" width="13.625" bestFit="1" customWidth="1"/>
  </cols>
  <sheetData>
    <row r="1" spans="1:19" ht="15" x14ac:dyDescent="0.2">
      <c r="A1" s="4" t="s">
        <v>27</v>
      </c>
      <c r="B1" t="s">
        <v>32</v>
      </c>
      <c r="C1" s="4" t="s">
        <v>31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s="4" t="s">
        <v>6</v>
      </c>
      <c r="N1" s="4" t="s">
        <v>24</v>
      </c>
      <c r="O1" s="4" t="s">
        <v>7</v>
      </c>
      <c r="P1" s="8" t="s">
        <v>29</v>
      </c>
      <c r="Q1" s="8" t="s">
        <v>28</v>
      </c>
      <c r="R1" s="8" t="s">
        <v>30</v>
      </c>
      <c r="S1" s="8" t="s">
        <v>25</v>
      </c>
    </row>
    <row r="2" spans="1:19" ht="15" x14ac:dyDescent="0.25">
      <c r="A2" s="9" t="s">
        <v>0</v>
      </c>
      <c r="B2" s="24">
        <v>141209</v>
      </c>
      <c r="C2" s="3">
        <v>2.81</v>
      </c>
      <c r="D2" s="10">
        <v>0.35099999999999998</v>
      </c>
      <c r="E2" s="10">
        <v>0.29799999999999999</v>
      </c>
      <c r="F2" s="18">
        <f>E2-D2</f>
        <v>-5.2999999999999992E-2</v>
      </c>
      <c r="G2" s="19">
        <f>F2/D2</f>
        <v>-0.15099715099715097</v>
      </c>
      <c r="H2" s="1">
        <f t="shared" ref="H2:H22" si="0">E2/3*4</f>
        <v>0.39733333333333332</v>
      </c>
      <c r="I2" s="21">
        <v>0.15</v>
      </c>
      <c r="J2" s="1">
        <f t="shared" ref="J2:J22" si="1">C2/H2</f>
        <v>7.0721476510067118</v>
      </c>
      <c r="K2" s="11">
        <v>2.4020000000000001</v>
      </c>
      <c r="L2" s="1">
        <f>C2/K2</f>
        <v>1.1698584512905912</v>
      </c>
      <c r="M2" s="1">
        <f t="shared" ref="M2:M22" si="2">J2*L2</f>
        <v>8.2734116983051038</v>
      </c>
      <c r="N2" s="1">
        <f t="shared" ref="N2:N22" si="3">SQRT(22.5*H2*K2)</f>
        <v>4.6339917997337894</v>
      </c>
      <c r="O2" s="1">
        <f t="shared" ref="O2:O22" si="4">C2/N2</f>
        <v>0.60638864319126051</v>
      </c>
      <c r="P2" s="2">
        <v>0.15</v>
      </c>
      <c r="Q2" s="2">
        <v>0.10800000000000001</v>
      </c>
      <c r="R2" s="2">
        <f t="shared" ref="R2:R22" si="5">P2/C2</f>
        <v>5.3380782918149461E-2</v>
      </c>
      <c r="S2" s="2">
        <f t="shared" ref="S2:S17" si="6">Q2/C2</f>
        <v>3.8434163701067621E-2</v>
      </c>
    </row>
    <row r="3" spans="1:19" ht="15" x14ac:dyDescent="0.25">
      <c r="A3" s="9" t="s">
        <v>1</v>
      </c>
      <c r="B3" s="24">
        <v>131286</v>
      </c>
      <c r="C3" s="3">
        <v>2.17</v>
      </c>
      <c r="D3" s="10">
        <v>0.113</v>
      </c>
      <c r="E3" s="10">
        <v>0.14299999999999999</v>
      </c>
      <c r="F3" s="18">
        <f t="shared" ref="F3:F22" si="7">E3-D3</f>
        <v>2.9999999999999985E-2</v>
      </c>
      <c r="G3" s="19">
        <f t="shared" ref="G3:G22" si="8">F3/D3</f>
        <v>0.26548672566371667</v>
      </c>
      <c r="H3" s="1">
        <f t="shared" si="0"/>
        <v>0.19066666666666665</v>
      </c>
      <c r="I3" s="21">
        <v>0.15</v>
      </c>
      <c r="J3" s="1">
        <f t="shared" si="1"/>
        <v>11.381118881118882</v>
      </c>
      <c r="K3" s="11">
        <v>1.5980000000000001</v>
      </c>
      <c r="L3" s="1">
        <f t="shared" ref="L3:L22" si="9">C3/K3</f>
        <v>1.3579474342928659</v>
      </c>
      <c r="M3" s="1">
        <f t="shared" si="2"/>
        <v>15.454961183997478</v>
      </c>
      <c r="N3" s="1">
        <f t="shared" si="3"/>
        <v>2.6182856986967638</v>
      </c>
      <c r="O3" s="1">
        <f t="shared" si="4"/>
        <v>0.82878656102353709</v>
      </c>
      <c r="P3" s="2">
        <v>0.15</v>
      </c>
      <c r="Q3" s="2">
        <v>0.14100000000000001</v>
      </c>
      <c r="R3" s="2">
        <f t="shared" si="5"/>
        <v>6.9124423963133647E-2</v>
      </c>
      <c r="S3" s="2">
        <f t="shared" si="6"/>
        <v>6.4976958525345629E-2</v>
      </c>
    </row>
    <row r="4" spans="1:19" ht="15" x14ac:dyDescent="0.25">
      <c r="A4" s="9" t="s">
        <v>2</v>
      </c>
      <c r="B4" s="24">
        <v>131206</v>
      </c>
      <c r="C4" s="3">
        <v>3.06</v>
      </c>
      <c r="D4" s="10">
        <v>0.16600000000000001</v>
      </c>
      <c r="E4" s="10">
        <v>0.151</v>
      </c>
      <c r="F4" s="18">
        <f t="shared" si="7"/>
        <v>-1.5000000000000013E-2</v>
      </c>
      <c r="G4" s="19">
        <f t="shared" si="8"/>
        <v>-9.0361445783132599E-2</v>
      </c>
      <c r="H4" s="1">
        <f t="shared" si="0"/>
        <v>0.20133333333333334</v>
      </c>
      <c r="I4" s="21">
        <v>0.18</v>
      </c>
      <c r="J4" s="1">
        <f t="shared" si="1"/>
        <v>15.198675496688741</v>
      </c>
      <c r="K4" s="11">
        <v>1.5569999999999999</v>
      </c>
      <c r="L4" s="1">
        <f t="shared" si="9"/>
        <v>1.9653179190751446</v>
      </c>
      <c r="M4" s="1">
        <f t="shared" si="2"/>
        <v>29.870229299850706</v>
      </c>
      <c r="N4" s="1">
        <f t="shared" si="3"/>
        <v>2.655788018649079</v>
      </c>
      <c r="O4" s="1">
        <f t="shared" si="4"/>
        <v>1.1522003934472647</v>
      </c>
      <c r="P4" s="2">
        <v>0.18</v>
      </c>
      <c r="Q4" s="2">
        <v>0.1948</v>
      </c>
      <c r="R4" s="2">
        <f t="shared" si="5"/>
        <v>5.8823529411764705E-2</v>
      </c>
      <c r="S4" s="2">
        <f t="shared" si="6"/>
        <v>6.3660130718954253E-2</v>
      </c>
    </row>
    <row r="5" spans="1:19" ht="15" x14ac:dyDescent="0.25">
      <c r="A5" s="9" t="s">
        <v>5</v>
      </c>
      <c r="B5" s="24">
        <v>111001</v>
      </c>
      <c r="C5" s="3">
        <v>4.42</v>
      </c>
      <c r="D5" s="10">
        <v>0.249</v>
      </c>
      <c r="E5" s="10">
        <v>0.26900000000000002</v>
      </c>
      <c r="F5" s="18">
        <f t="shared" si="7"/>
        <v>2.0000000000000018E-2</v>
      </c>
      <c r="G5" s="19">
        <f t="shared" si="8"/>
        <v>8.0321285140562318E-2</v>
      </c>
      <c r="H5" s="1">
        <f t="shared" si="0"/>
        <v>0.35866666666666669</v>
      </c>
      <c r="I5" s="21">
        <v>0.25</v>
      </c>
      <c r="J5" s="1">
        <f t="shared" si="1"/>
        <v>12.323420074349441</v>
      </c>
      <c r="K5" s="11">
        <v>2.8530000000000002</v>
      </c>
      <c r="L5" s="1">
        <f t="shared" si="9"/>
        <v>1.5492464072905712</v>
      </c>
      <c r="M5" s="1">
        <f t="shared" si="2"/>
        <v>19.092014275718373</v>
      </c>
      <c r="N5" s="1">
        <f t="shared" si="3"/>
        <v>4.7983028249580082</v>
      </c>
      <c r="O5" s="1">
        <f t="shared" si="4"/>
        <v>0.92115903502582308</v>
      </c>
      <c r="P5" s="2">
        <v>0.25</v>
      </c>
      <c r="Q5" s="2">
        <v>0.24399999999999999</v>
      </c>
      <c r="R5" s="2">
        <f t="shared" si="5"/>
        <v>5.6561085972850679E-2</v>
      </c>
      <c r="S5" s="2">
        <f t="shared" si="6"/>
        <v>5.5203619909502261E-2</v>
      </c>
    </row>
    <row r="6" spans="1:19" ht="15" x14ac:dyDescent="0.25">
      <c r="A6" s="9" t="s">
        <v>3</v>
      </c>
      <c r="B6" s="24">
        <v>131004</v>
      </c>
      <c r="C6" s="3">
        <v>3.15</v>
      </c>
      <c r="D6" s="12">
        <v>0.14299999999999999</v>
      </c>
      <c r="E6" s="12">
        <v>0.192</v>
      </c>
      <c r="F6" s="18">
        <f t="shared" si="7"/>
        <v>4.9000000000000016E-2</v>
      </c>
      <c r="G6" s="19">
        <f t="shared" si="8"/>
        <v>0.34265734265734282</v>
      </c>
      <c r="H6" s="1">
        <f t="shared" si="0"/>
        <v>0.25600000000000001</v>
      </c>
      <c r="I6" s="21">
        <v>0.2</v>
      </c>
      <c r="J6" s="1">
        <f t="shared" si="1"/>
        <v>12.3046875</v>
      </c>
      <c r="K6" s="11">
        <v>1.637</v>
      </c>
      <c r="L6" s="1">
        <f t="shared" si="9"/>
        <v>1.9242516799022602</v>
      </c>
      <c r="M6" s="1">
        <f t="shared" si="2"/>
        <v>23.677315592547341</v>
      </c>
      <c r="N6" s="1">
        <f t="shared" si="3"/>
        <v>3.0706872194998955</v>
      </c>
      <c r="O6" s="1">
        <f t="shared" si="4"/>
        <v>1.0258290001001866</v>
      </c>
      <c r="P6" s="2">
        <v>0.2</v>
      </c>
      <c r="Q6" s="2">
        <v>0.13799999999999998</v>
      </c>
      <c r="R6" s="2">
        <f t="shared" si="5"/>
        <v>6.3492063492063502E-2</v>
      </c>
      <c r="S6" s="2">
        <f t="shared" si="6"/>
        <v>4.3809523809523805E-2</v>
      </c>
    </row>
    <row r="7" spans="1:19" ht="15" x14ac:dyDescent="0.25">
      <c r="A7" s="9" t="s">
        <v>4</v>
      </c>
      <c r="B7" s="24">
        <v>141018</v>
      </c>
      <c r="C7" s="3">
        <v>22.73</v>
      </c>
      <c r="D7" s="10">
        <v>1.2709999999999999</v>
      </c>
      <c r="E7" s="10">
        <v>1.3859999999999999</v>
      </c>
      <c r="F7" s="18">
        <f t="shared" si="7"/>
        <v>0.11499999999999999</v>
      </c>
      <c r="G7" s="19">
        <f t="shared" si="8"/>
        <v>9.0479937057435095E-2</v>
      </c>
      <c r="H7" s="1">
        <f t="shared" si="0"/>
        <v>1.8479999999999999</v>
      </c>
      <c r="I7" s="21">
        <v>1.6</v>
      </c>
      <c r="J7" s="1">
        <f t="shared" si="1"/>
        <v>12.299783549783552</v>
      </c>
      <c r="K7" s="11">
        <v>6.0869999999999997</v>
      </c>
      <c r="L7" s="1">
        <f t="shared" si="9"/>
        <v>3.7341876129456222</v>
      </c>
      <c r="M7" s="1">
        <f t="shared" si="2"/>
        <v>45.929699373514069</v>
      </c>
      <c r="N7" s="1">
        <f t="shared" si="3"/>
        <v>15.9090370544543</v>
      </c>
      <c r="O7" s="1">
        <f t="shared" si="4"/>
        <v>1.4287476936660934</v>
      </c>
      <c r="P7" s="2">
        <v>1.6</v>
      </c>
      <c r="Q7" s="2">
        <v>1.5</v>
      </c>
      <c r="R7" s="2">
        <f t="shared" si="5"/>
        <v>7.0391553013638364E-2</v>
      </c>
      <c r="S7" s="2">
        <f t="shared" si="6"/>
        <v>6.599208095028597E-2</v>
      </c>
    </row>
    <row r="8" spans="1:19" ht="15" x14ac:dyDescent="0.25">
      <c r="A8" s="9" t="s">
        <v>8</v>
      </c>
      <c r="B8" s="24">
        <v>141009</v>
      </c>
      <c r="C8" s="3">
        <v>0.84</v>
      </c>
      <c r="D8" s="10">
        <v>5.2999999999999999E-2</v>
      </c>
      <c r="E8" s="10">
        <v>2.1000000000000001E-2</v>
      </c>
      <c r="F8" s="18">
        <f t="shared" si="7"/>
        <v>-3.2000000000000001E-2</v>
      </c>
      <c r="G8" s="19">
        <f t="shared" si="8"/>
        <v>-0.60377358490566035</v>
      </c>
      <c r="H8" s="1">
        <f t="shared" si="0"/>
        <v>2.8000000000000001E-2</v>
      </c>
      <c r="I8" s="21">
        <v>0.04</v>
      </c>
      <c r="J8" s="1">
        <f t="shared" si="1"/>
        <v>30</v>
      </c>
      <c r="K8" s="11">
        <v>1.2969999999999999</v>
      </c>
      <c r="L8" s="1">
        <f t="shared" si="9"/>
        <v>0.64764841942945262</v>
      </c>
      <c r="M8" s="1">
        <f t="shared" si="2"/>
        <v>19.429452582883577</v>
      </c>
      <c r="N8" s="1">
        <f t="shared" si="3"/>
        <v>0.90394136978014228</v>
      </c>
      <c r="O8" s="1">
        <f t="shared" si="4"/>
        <v>0.92926380856349766</v>
      </c>
      <c r="P8" s="2">
        <v>0.04</v>
      </c>
      <c r="Q8" s="2">
        <v>0.05</v>
      </c>
      <c r="R8" s="2">
        <f t="shared" si="5"/>
        <v>4.7619047619047623E-2</v>
      </c>
      <c r="S8" s="2">
        <f t="shared" si="6"/>
        <v>5.9523809523809527E-2</v>
      </c>
    </row>
    <row r="9" spans="1:19" ht="15" x14ac:dyDescent="0.25">
      <c r="A9" s="9" t="s">
        <v>9</v>
      </c>
      <c r="B9" s="24">
        <v>121025</v>
      </c>
      <c r="C9" s="3">
        <v>1.91</v>
      </c>
      <c r="D9" s="10">
        <v>9.5000000000000001E-2</v>
      </c>
      <c r="E9" s="10">
        <v>0.156</v>
      </c>
      <c r="F9" s="18">
        <f t="shared" si="7"/>
        <v>6.0999999999999999E-2</v>
      </c>
      <c r="G9" s="19">
        <f t="shared" si="8"/>
        <v>0.64210526315789473</v>
      </c>
      <c r="H9" s="1">
        <f t="shared" si="0"/>
        <v>0.20799999999999999</v>
      </c>
      <c r="I9" s="21">
        <v>0.15</v>
      </c>
      <c r="J9" s="1">
        <f t="shared" si="1"/>
        <v>9.1826923076923084</v>
      </c>
      <c r="K9" s="11">
        <v>1.5589999999999999</v>
      </c>
      <c r="L9" s="1">
        <f t="shared" si="9"/>
        <v>1.2251443232841566</v>
      </c>
      <c r="M9" s="1">
        <f t="shared" si="2"/>
        <v>11.250123353234324</v>
      </c>
      <c r="N9" s="1">
        <f t="shared" si="3"/>
        <v>2.701133095573041</v>
      </c>
      <c r="O9" s="1">
        <f t="shared" si="4"/>
        <v>0.70711065779407534</v>
      </c>
      <c r="P9" s="2">
        <v>0.15</v>
      </c>
      <c r="Q9" s="2">
        <v>0.10200000000000001</v>
      </c>
      <c r="R9" s="2">
        <f t="shared" si="5"/>
        <v>7.8534031413612565E-2</v>
      </c>
      <c r="S9" s="2">
        <f t="shared" si="6"/>
        <v>5.3403141361256554E-2</v>
      </c>
    </row>
    <row r="10" spans="1:19" ht="15" x14ac:dyDescent="0.25">
      <c r="A10" s="9" t="s">
        <v>10</v>
      </c>
      <c r="B10" s="24">
        <v>141210</v>
      </c>
      <c r="C10" s="3">
        <v>3.12</v>
      </c>
      <c r="D10" s="10">
        <v>0.11799999999999999</v>
      </c>
      <c r="E10" s="10">
        <v>0.14899999999999999</v>
      </c>
      <c r="F10" s="18">
        <f t="shared" si="7"/>
        <v>3.1E-2</v>
      </c>
      <c r="G10" s="19">
        <f t="shared" si="8"/>
        <v>0.26271186440677968</v>
      </c>
      <c r="H10" s="1">
        <f t="shared" si="0"/>
        <v>0.19866666666666666</v>
      </c>
      <c r="I10" s="21">
        <v>0.18</v>
      </c>
      <c r="J10" s="1">
        <f t="shared" si="1"/>
        <v>15.704697986577182</v>
      </c>
      <c r="K10" s="11">
        <v>3.1749999999999998</v>
      </c>
      <c r="L10" s="1">
        <f t="shared" si="9"/>
        <v>0.98267716535433081</v>
      </c>
      <c r="M10" s="1">
        <f t="shared" si="2"/>
        <v>15.432648100195532</v>
      </c>
      <c r="N10" s="1">
        <f t="shared" si="3"/>
        <v>3.7672602777084565</v>
      </c>
      <c r="O10" s="1">
        <f t="shared" si="4"/>
        <v>0.82818806506722942</v>
      </c>
      <c r="P10" s="2">
        <v>0.18</v>
      </c>
      <c r="Q10" s="2">
        <v>0.21299999999999999</v>
      </c>
      <c r="R10" s="2">
        <f t="shared" si="5"/>
        <v>5.7692307692307689E-2</v>
      </c>
      <c r="S10" s="2">
        <f t="shared" si="6"/>
        <v>6.8269230769230763E-2</v>
      </c>
    </row>
    <row r="11" spans="1:19" ht="15" x14ac:dyDescent="0.25">
      <c r="A11" s="13" t="s">
        <v>11</v>
      </c>
      <c r="B11" s="24">
        <v>131228</v>
      </c>
      <c r="C11" s="14">
        <v>1.21</v>
      </c>
      <c r="D11" s="12">
        <v>4.2999999999999997E-2</v>
      </c>
      <c r="E11" s="12">
        <v>0.1</v>
      </c>
      <c r="F11" s="18">
        <f t="shared" si="7"/>
        <v>5.7000000000000009E-2</v>
      </c>
      <c r="G11" s="19">
        <f t="shared" si="8"/>
        <v>1.3255813953488376</v>
      </c>
      <c r="H11" s="1">
        <f t="shared" si="0"/>
        <v>0.13333333333333333</v>
      </c>
      <c r="I11" s="21">
        <v>0.1</v>
      </c>
      <c r="J11" s="1">
        <f t="shared" si="1"/>
        <v>9.0749999999999993</v>
      </c>
      <c r="K11" s="15">
        <v>1.343</v>
      </c>
      <c r="L11" s="1">
        <f t="shared" si="9"/>
        <v>0.90096798212956064</v>
      </c>
      <c r="M11" s="1">
        <f t="shared" si="2"/>
        <v>8.1762844378257622</v>
      </c>
      <c r="N11" s="1">
        <f t="shared" si="3"/>
        <v>2.00723690679501</v>
      </c>
      <c r="O11" s="1">
        <f t="shared" si="4"/>
        <v>0.60281872852369378</v>
      </c>
      <c r="P11" s="2">
        <v>0.1</v>
      </c>
      <c r="Q11" s="2">
        <v>3.1040000000000002E-2</v>
      </c>
      <c r="R11" s="2">
        <f t="shared" si="5"/>
        <v>8.2644628099173556E-2</v>
      </c>
      <c r="S11" s="2">
        <f t="shared" si="6"/>
        <v>2.5652892561983474E-2</v>
      </c>
    </row>
    <row r="12" spans="1:19" ht="15" x14ac:dyDescent="0.25">
      <c r="A12" s="9" t="s">
        <v>12</v>
      </c>
      <c r="B12" s="23">
        <v>141012</v>
      </c>
      <c r="C12" s="3">
        <v>1.1399999999999999</v>
      </c>
      <c r="D12" s="10">
        <v>6.9000000000000006E-2</v>
      </c>
      <c r="E12" s="10">
        <v>8.2000000000000003E-2</v>
      </c>
      <c r="F12" s="18">
        <f t="shared" si="7"/>
        <v>1.2999999999999998E-2</v>
      </c>
      <c r="G12" s="19">
        <f t="shared" si="8"/>
        <v>0.18840579710144922</v>
      </c>
      <c r="H12" s="1">
        <f t="shared" si="0"/>
        <v>0.10933333333333334</v>
      </c>
      <c r="I12" s="21">
        <v>0.08</v>
      </c>
      <c r="J12" s="1">
        <f t="shared" si="1"/>
        <v>10.426829268292682</v>
      </c>
      <c r="K12" s="11">
        <v>1.6870000000000001</v>
      </c>
      <c r="L12" s="1">
        <f t="shared" si="9"/>
        <v>0.67575577949021925</v>
      </c>
      <c r="M12" s="1">
        <f t="shared" si="2"/>
        <v>7.0459901398065536</v>
      </c>
      <c r="N12" s="1">
        <f t="shared" si="3"/>
        <v>2.0371597875473588</v>
      </c>
      <c r="O12" s="1">
        <f t="shared" si="4"/>
        <v>0.55960264234967272</v>
      </c>
      <c r="P12" s="2">
        <v>0.08</v>
      </c>
      <c r="Q12" s="2">
        <v>2.6000000000000002E-2</v>
      </c>
      <c r="R12" s="2">
        <f t="shared" si="5"/>
        <v>7.0175438596491238E-2</v>
      </c>
      <c r="S12" s="2">
        <f t="shared" si="6"/>
        <v>2.2807017543859654E-2</v>
      </c>
    </row>
    <row r="13" spans="1:19" ht="15" x14ac:dyDescent="0.25">
      <c r="A13" s="9" t="s">
        <v>13</v>
      </c>
      <c r="B13" s="24">
        <v>142041</v>
      </c>
      <c r="C13" s="3">
        <v>5.47</v>
      </c>
      <c r="D13" s="10">
        <v>0.49399999999999999</v>
      </c>
      <c r="E13" s="10">
        <v>0.379</v>
      </c>
      <c r="F13" s="18">
        <f t="shared" si="7"/>
        <v>-0.11499999999999999</v>
      </c>
      <c r="G13" s="19">
        <f t="shared" si="8"/>
        <v>-0.23279352226720645</v>
      </c>
      <c r="H13" s="1">
        <f t="shared" si="0"/>
        <v>0.5053333333333333</v>
      </c>
      <c r="I13" s="21">
        <v>0.4</v>
      </c>
      <c r="J13" s="1">
        <f t="shared" si="1"/>
        <v>10.824538258575197</v>
      </c>
      <c r="K13" s="11">
        <v>6.4669999999999996</v>
      </c>
      <c r="L13" s="1">
        <f t="shared" si="9"/>
        <v>0.84583268903664766</v>
      </c>
      <c r="M13" s="1">
        <f t="shared" si="2"/>
        <v>9.1557483028307303</v>
      </c>
      <c r="N13" s="1">
        <f t="shared" si="3"/>
        <v>8.5749513118151288</v>
      </c>
      <c r="O13" s="1">
        <f t="shared" si="4"/>
        <v>0.63790449660782045</v>
      </c>
      <c r="P13" s="2">
        <v>0.4</v>
      </c>
      <c r="Q13" s="2">
        <v>0.43</v>
      </c>
      <c r="R13" s="2">
        <f t="shared" si="5"/>
        <v>7.3126142595978064E-2</v>
      </c>
      <c r="S13" s="2">
        <f t="shared" si="6"/>
        <v>7.8610603290676415E-2</v>
      </c>
    </row>
    <row r="14" spans="1:19" ht="15" x14ac:dyDescent="0.25">
      <c r="A14" s="9" t="s">
        <v>14</v>
      </c>
      <c r="B14" s="24">
        <v>121034</v>
      </c>
      <c r="C14" s="3">
        <v>0.82</v>
      </c>
      <c r="D14" s="10">
        <v>7.5999999999999998E-2</v>
      </c>
      <c r="E14" s="10">
        <v>8.6999999999999994E-2</v>
      </c>
      <c r="F14" s="18">
        <f t="shared" si="7"/>
        <v>1.0999999999999996E-2</v>
      </c>
      <c r="G14" s="19">
        <f t="shared" si="8"/>
        <v>0.14473684210526311</v>
      </c>
      <c r="H14" s="1">
        <f t="shared" si="0"/>
        <v>0.11599999999999999</v>
      </c>
      <c r="I14" s="21">
        <v>0.1</v>
      </c>
      <c r="J14" s="1">
        <f t="shared" si="1"/>
        <v>7.068965517241379</v>
      </c>
      <c r="K14" s="11">
        <v>1.355</v>
      </c>
      <c r="L14" s="1">
        <f t="shared" si="9"/>
        <v>0.60516605166051662</v>
      </c>
      <c r="M14" s="1">
        <f t="shared" si="2"/>
        <v>4.2778979513933066</v>
      </c>
      <c r="N14" s="1">
        <f t="shared" si="3"/>
        <v>1.8805717215783075</v>
      </c>
      <c r="O14" s="1">
        <f t="shared" si="4"/>
        <v>0.43603761057929685</v>
      </c>
      <c r="P14" s="2">
        <v>0.1</v>
      </c>
      <c r="Q14" s="2">
        <v>4.3999999999999997E-2</v>
      </c>
      <c r="R14" s="2">
        <f t="shared" si="5"/>
        <v>0.12195121951219513</v>
      </c>
      <c r="S14" s="2">
        <f t="shared" si="6"/>
        <v>5.3658536585365853E-2</v>
      </c>
    </row>
    <row r="15" spans="1:19" ht="15" x14ac:dyDescent="0.25">
      <c r="A15" s="9" t="s">
        <v>15</v>
      </c>
      <c r="B15" s="22">
        <v>141219</v>
      </c>
      <c r="C15" s="3">
        <v>1.55</v>
      </c>
      <c r="D15" s="10">
        <v>7.5999999999999998E-2</v>
      </c>
      <c r="E15" s="10">
        <v>8.7999999999999995E-2</v>
      </c>
      <c r="F15" s="18">
        <f t="shared" si="7"/>
        <v>1.1999999999999997E-2</v>
      </c>
      <c r="G15" s="19">
        <f t="shared" si="8"/>
        <v>0.15789473684210523</v>
      </c>
      <c r="H15" s="1">
        <f t="shared" si="0"/>
        <v>0.11733333333333333</v>
      </c>
      <c r="I15" s="21">
        <v>0.1</v>
      </c>
      <c r="J15" s="1">
        <f t="shared" si="1"/>
        <v>13.210227272727273</v>
      </c>
      <c r="K15" s="11">
        <v>1.7569999999999999</v>
      </c>
      <c r="L15" s="1">
        <f t="shared" si="9"/>
        <v>0.88218554354012524</v>
      </c>
      <c r="M15" s="1">
        <f t="shared" si="2"/>
        <v>11.653871526879495</v>
      </c>
      <c r="N15" s="1">
        <f t="shared" si="3"/>
        <v>2.1537130728116964</v>
      </c>
      <c r="O15" s="1">
        <f t="shared" si="4"/>
        <v>0.7196873249120681</v>
      </c>
      <c r="P15" s="2">
        <v>0.1</v>
      </c>
      <c r="Q15" s="2">
        <v>7.1999999999999995E-2</v>
      </c>
      <c r="R15" s="2">
        <f t="shared" si="5"/>
        <v>6.4516129032258063E-2</v>
      </c>
      <c r="S15" s="2">
        <f t="shared" si="6"/>
        <v>4.6451612903225803E-2</v>
      </c>
    </row>
    <row r="16" spans="1:19" ht="15" x14ac:dyDescent="0.25">
      <c r="A16" s="9" t="s">
        <v>16</v>
      </c>
      <c r="B16" s="22">
        <v>141052</v>
      </c>
      <c r="C16" s="3">
        <v>1.84</v>
      </c>
      <c r="D16" s="10">
        <v>3.5999999999999997E-2</v>
      </c>
      <c r="E16" s="10">
        <v>8.9999999999999993E-3</v>
      </c>
      <c r="F16" s="18">
        <f t="shared" si="7"/>
        <v>-2.6999999999999996E-2</v>
      </c>
      <c r="G16" s="19">
        <f t="shared" si="8"/>
        <v>-0.75</v>
      </c>
      <c r="H16" s="1">
        <f t="shared" si="0"/>
        <v>1.1999999999999999E-2</v>
      </c>
      <c r="I16" s="21">
        <v>0.02</v>
      </c>
      <c r="J16" s="1">
        <f t="shared" si="1"/>
        <v>153.33333333333337</v>
      </c>
      <c r="K16" s="11">
        <v>1.3879999999999999</v>
      </c>
      <c r="L16" s="1">
        <f t="shared" si="9"/>
        <v>1.3256484149855909</v>
      </c>
      <c r="M16" s="1">
        <f t="shared" si="2"/>
        <v>203.26609029779067</v>
      </c>
      <c r="N16" s="1">
        <f t="shared" si="3"/>
        <v>0.61217644515286596</v>
      </c>
      <c r="O16" s="1">
        <f t="shared" si="4"/>
        <v>3.0056693859570758</v>
      </c>
      <c r="P16" s="2">
        <v>0.02</v>
      </c>
      <c r="Q16" s="2">
        <v>0.11400000000000002</v>
      </c>
      <c r="R16" s="2">
        <f t="shared" si="5"/>
        <v>1.0869565217391304E-2</v>
      </c>
      <c r="S16" s="2">
        <f t="shared" si="6"/>
        <v>6.1956521739130445E-2</v>
      </c>
    </row>
    <row r="17" spans="1:19" ht="15" x14ac:dyDescent="0.25">
      <c r="A17" s="9" t="s">
        <v>17</v>
      </c>
      <c r="B17" s="24">
        <v>131012</v>
      </c>
      <c r="C17" s="3">
        <v>3.2</v>
      </c>
      <c r="D17" s="10">
        <v>0.214</v>
      </c>
      <c r="E17" s="10">
        <v>0.28499999999999998</v>
      </c>
      <c r="F17" s="18">
        <f t="shared" si="7"/>
        <v>7.099999999999998E-2</v>
      </c>
      <c r="G17" s="19">
        <f t="shared" si="8"/>
        <v>0.33177570093457937</v>
      </c>
      <c r="H17" s="1">
        <f t="shared" si="0"/>
        <v>0.37999999999999995</v>
      </c>
      <c r="I17" s="21">
        <v>0.3</v>
      </c>
      <c r="J17" s="1">
        <f t="shared" si="1"/>
        <v>8.4210526315789487</v>
      </c>
      <c r="K17" s="11">
        <v>2.1059999999999999</v>
      </c>
      <c r="L17" s="1">
        <f t="shared" si="9"/>
        <v>1.5194681861348529</v>
      </c>
      <c r="M17" s="1">
        <f t="shared" si="2"/>
        <v>12.795521567451395</v>
      </c>
      <c r="N17" s="1">
        <f t="shared" si="3"/>
        <v>4.2433830842854618</v>
      </c>
      <c r="O17" s="1">
        <f t="shared" si="4"/>
        <v>0.75411527463795891</v>
      </c>
      <c r="P17" s="2">
        <v>0.3</v>
      </c>
      <c r="Q17" s="2">
        <v>0.2</v>
      </c>
      <c r="R17" s="2">
        <f t="shared" si="5"/>
        <v>9.3749999999999986E-2</v>
      </c>
      <c r="S17" s="2">
        <f t="shared" si="6"/>
        <v>6.25E-2</v>
      </c>
    </row>
    <row r="18" spans="1:19" ht="15" x14ac:dyDescent="0.25">
      <c r="A18" s="9" t="s">
        <v>18</v>
      </c>
      <c r="B18" s="24">
        <v>141106</v>
      </c>
      <c r="C18" s="3">
        <v>1.1100000000000001</v>
      </c>
      <c r="D18" s="10">
        <v>4.5999999999999999E-2</v>
      </c>
      <c r="E18" s="10">
        <v>5.8999999999999997E-2</v>
      </c>
      <c r="F18" s="18">
        <f t="shared" si="7"/>
        <v>1.2999999999999998E-2</v>
      </c>
      <c r="G18" s="19">
        <f t="shared" si="8"/>
        <v>0.28260869565217389</v>
      </c>
      <c r="H18" s="1">
        <f t="shared" si="0"/>
        <v>7.8666666666666663E-2</v>
      </c>
      <c r="I18" s="21">
        <v>7.0000000000000007E-2</v>
      </c>
      <c r="J18" s="1">
        <f t="shared" si="1"/>
        <v>14.110169491525426</v>
      </c>
      <c r="K18" s="11">
        <v>1.6890000000000001</v>
      </c>
      <c r="L18" s="1">
        <f t="shared" si="9"/>
        <v>0.65719360568383667</v>
      </c>
      <c r="M18" s="1">
        <f t="shared" si="2"/>
        <v>9.2731131649456628</v>
      </c>
      <c r="N18" s="1">
        <f t="shared" si="3"/>
        <v>1.7290257372289171</v>
      </c>
      <c r="O18" s="1">
        <f t="shared" si="4"/>
        <v>0.64198003309018403</v>
      </c>
      <c r="P18" s="2">
        <v>7.0000000000000007E-2</v>
      </c>
      <c r="Q18" s="16" t="s">
        <v>19</v>
      </c>
      <c r="R18" s="2">
        <f t="shared" si="5"/>
        <v>6.3063063063063057E-2</v>
      </c>
      <c r="S18" s="16" t="s">
        <v>19</v>
      </c>
    </row>
    <row r="19" spans="1:19" ht="15" x14ac:dyDescent="0.25">
      <c r="A19" s="9" t="s">
        <v>20</v>
      </c>
      <c r="B19" s="24">
        <v>141215</v>
      </c>
      <c r="C19" s="3">
        <v>1.04</v>
      </c>
      <c r="D19" s="10">
        <v>4.2999999999999997E-2</v>
      </c>
      <c r="E19" s="10">
        <v>8.5999999999999993E-2</v>
      </c>
      <c r="F19" s="18">
        <f t="shared" si="7"/>
        <v>4.2999999999999997E-2</v>
      </c>
      <c r="G19" s="19">
        <f t="shared" si="8"/>
        <v>1</v>
      </c>
      <c r="H19" s="1">
        <f t="shared" si="0"/>
        <v>0.11466666666666665</v>
      </c>
      <c r="I19" s="21">
        <v>0.08</v>
      </c>
      <c r="J19" s="1">
        <f t="shared" si="1"/>
        <v>9.069767441860467</v>
      </c>
      <c r="K19" s="11">
        <v>1.0980000000000001</v>
      </c>
      <c r="L19" s="1">
        <f t="shared" si="9"/>
        <v>0.94717668488160289</v>
      </c>
      <c r="M19" s="1">
        <f t="shared" si="2"/>
        <v>8.5906722582284925</v>
      </c>
      <c r="N19" s="1">
        <f t="shared" si="3"/>
        <v>1.6831042748445504</v>
      </c>
      <c r="O19" s="1">
        <f t="shared" si="4"/>
        <v>0.61790586331678898</v>
      </c>
      <c r="P19" s="2">
        <v>0.08</v>
      </c>
      <c r="Q19" s="16" t="s">
        <v>19</v>
      </c>
      <c r="R19" s="2">
        <f t="shared" si="5"/>
        <v>7.6923076923076927E-2</v>
      </c>
      <c r="S19" s="16" t="s">
        <v>19</v>
      </c>
    </row>
    <row r="20" spans="1:19" ht="15" x14ac:dyDescent="0.25">
      <c r="A20" s="9" t="s">
        <v>21</v>
      </c>
      <c r="B20" s="24">
        <v>131019</v>
      </c>
      <c r="C20" s="3">
        <v>0.66</v>
      </c>
      <c r="D20" s="10">
        <v>1.9E-2</v>
      </c>
      <c r="E20" s="10">
        <v>2.4E-2</v>
      </c>
      <c r="F20" s="18">
        <f t="shared" si="7"/>
        <v>5.000000000000001E-3</v>
      </c>
      <c r="G20" s="19">
        <f t="shared" si="8"/>
        <v>0.26315789473684215</v>
      </c>
      <c r="H20" s="1">
        <f t="shared" si="0"/>
        <v>3.2000000000000001E-2</v>
      </c>
      <c r="I20" s="21">
        <v>0.03</v>
      </c>
      <c r="J20" s="1">
        <f t="shared" si="1"/>
        <v>20.625</v>
      </c>
      <c r="K20" s="11">
        <v>1.153</v>
      </c>
      <c r="L20" s="1">
        <f t="shared" si="9"/>
        <v>0.57241977450130099</v>
      </c>
      <c r="M20" s="1">
        <f t="shared" si="2"/>
        <v>11.806157849089333</v>
      </c>
      <c r="N20" s="1">
        <f t="shared" si="3"/>
        <v>0.91113116509095438</v>
      </c>
      <c r="O20" s="1">
        <f t="shared" si="4"/>
        <v>0.72437430008676629</v>
      </c>
      <c r="P20" s="2">
        <v>0.03</v>
      </c>
      <c r="Q20" s="16" t="s">
        <v>19</v>
      </c>
      <c r="R20" s="2">
        <f t="shared" si="5"/>
        <v>4.5454545454545449E-2</v>
      </c>
      <c r="S20" s="16" t="s">
        <v>19</v>
      </c>
    </row>
    <row r="21" spans="1:19" ht="15" x14ac:dyDescent="0.25">
      <c r="A21" s="9" t="s">
        <v>22</v>
      </c>
      <c r="B21" s="24">
        <v>131243</v>
      </c>
      <c r="C21" s="3">
        <v>0.75</v>
      </c>
      <c r="D21" s="17">
        <v>3.9E-2</v>
      </c>
      <c r="E21" s="17">
        <v>4.5999999999999999E-2</v>
      </c>
      <c r="F21" s="18">
        <f t="shared" si="7"/>
        <v>6.9999999999999993E-3</v>
      </c>
      <c r="G21" s="19">
        <f t="shared" si="8"/>
        <v>0.17948717948717946</v>
      </c>
      <c r="H21" s="1">
        <f t="shared" si="0"/>
        <v>6.133333333333333E-2</v>
      </c>
      <c r="I21" s="21">
        <v>0.05</v>
      </c>
      <c r="J21" s="1">
        <f t="shared" si="1"/>
        <v>12.228260869565219</v>
      </c>
      <c r="K21" s="11">
        <v>1.2889999999999999</v>
      </c>
      <c r="L21" s="1">
        <f t="shared" si="9"/>
        <v>0.58184639255236625</v>
      </c>
      <c r="M21" s="1">
        <f t="shared" si="2"/>
        <v>7.1149694741457834</v>
      </c>
      <c r="N21" s="1">
        <f t="shared" si="3"/>
        <v>1.3337241094019407</v>
      </c>
      <c r="O21" s="1">
        <f t="shared" si="4"/>
        <v>0.56233518964901197</v>
      </c>
      <c r="P21" s="2">
        <v>0.05</v>
      </c>
      <c r="Q21" s="16" t="s">
        <v>19</v>
      </c>
      <c r="R21" s="2">
        <f t="shared" si="5"/>
        <v>6.6666666666666666E-2</v>
      </c>
      <c r="S21" s="16" t="s">
        <v>19</v>
      </c>
    </row>
    <row r="22" spans="1:19" ht="15" x14ac:dyDescent="0.25">
      <c r="A22" s="9" t="s">
        <v>23</v>
      </c>
      <c r="B22" s="24">
        <v>131270</v>
      </c>
      <c r="C22" s="3">
        <v>0.71</v>
      </c>
      <c r="D22" s="10">
        <v>1.9E-2</v>
      </c>
      <c r="E22" s="10">
        <v>4.8000000000000001E-2</v>
      </c>
      <c r="F22" s="18">
        <f t="shared" si="7"/>
        <v>2.9000000000000001E-2</v>
      </c>
      <c r="G22" s="19">
        <f t="shared" si="8"/>
        <v>1.5263157894736843</v>
      </c>
      <c r="H22" s="1">
        <f t="shared" si="0"/>
        <v>6.4000000000000001E-2</v>
      </c>
      <c r="I22" s="21">
        <v>0.05</v>
      </c>
      <c r="J22" s="1">
        <f t="shared" si="1"/>
        <v>11.09375</v>
      </c>
      <c r="K22" s="11">
        <v>1.0920000000000001</v>
      </c>
      <c r="L22" s="1">
        <f t="shared" si="9"/>
        <v>0.65018315018315009</v>
      </c>
      <c r="M22" s="1">
        <f t="shared" si="2"/>
        <v>7.2129693223443212</v>
      </c>
      <c r="N22" s="1">
        <f t="shared" si="3"/>
        <v>1.2539856458508607</v>
      </c>
      <c r="O22" s="1">
        <f t="shared" si="4"/>
        <v>0.56619467882205876</v>
      </c>
      <c r="P22" s="2">
        <v>0.05</v>
      </c>
      <c r="Q22" s="16" t="s">
        <v>19</v>
      </c>
      <c r="R22" s="2">
        <f t="shared" si="5"/>
        <v>7.0422535211267609E-2</v>
      </c>
      <c r="S22" s="16" t="s">
        <v>19</v>
      </c>
    </row>
    <row r="23" spans="1:19" ht="15.75" x14ac:dyDescent="0.25">
      <c r="A23" s="6" t="s">
        <v>26</v>
      </c>
      <c r="B23" s="6"/>
      <c r="I23" s="5">
        <f>AVERAGE(I2:I22)</f>
        <v>0.20380952380952386</v>
      </c>
      <c r="P23" s="5">
        <f>AVERAGE(P2:P22)</f>
        <v>0.20380952380952386</v>
      </c>
      <c r="R23" s="5">
        <f>AVERAGE(R2:R22)</f>
        <v>6.6437230279460718E-2</v>
      </c>
    </row>
    <row r="24" spans="1:19" x14ac:dyDescent="0.2">
      <c r="A24" s="7"/>
      <c r="B24" s="7"/>
      <c r="C24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EKstoks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عماد محمد قواص</dc:creator>
  <cp:lastModifiedBy>عماد محمد قواص</cp:lastModifiedBy>
  <dcterms:created xsi:type="dcterms:W3CDTF">2025-11-04T08:42:07Z</dcterms:created>
  <dcterms:modified xsi:type="dcterms:W3CDTF">2025-11-09T09:52:20Z</dcterms:modified>
</cp:coreProperties>
</file>