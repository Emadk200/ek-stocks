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mqawwas\Downloads\EK-PR-App\stocks\EK-stocks-dashboard\"/>
    </mc:Choice>
  </mc:AlternateContent>
  <bookViews>
    <workbookView xWindow="0" yWindow="0" windowWidth="19140" windowHeight="5730"/>
  </bookViews>
  <sheets>
    <sheet name="EKstoks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3" i="2" l="1"/>
  <c r="H23" i="2"/>
  <c r="F13" i="2" l="1"/>
  <c r="F18" i="2"/>
  <c r="F19" i="2"/>
  <c r="F20" i="2"/>
  <c r="E3" i="2"/>
  <c r="F3" i="2" s="1"/>
  <c r="E4" i="2"/>
  <c r="F4" i="2" s="1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E14" i="2"/>
  <c r="F14" i="2" s="1"/>
  <c r="E15" i="2"/>
  <c r="F15" i="2" s="1"/>
  <c r="E16" i="2"/>
  <c r="F16" i="2" s="1"/>
  <c r="E17" i="2"/>
  <c r="F17" i="2" s="1"/>
  <c r="E18" i="2"/>
  <c r="E19" i="2"/>
  <c r="E20" i="2"/>
  <c r="E21" i="2"/>
  <c r="F21" i="2" s="1"/>
  <c r="E22" i="2"/>
  <c r="F22" i="2" s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Q23" i="2" s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" i="2"/>
  <c r="G3" i="2"/>
  <c r="I3" i="2" s="1"/>
  <c r="G4" i="2"/>
  <c r="I4" i="2" s="1"/>
  <c r="G5" i="2"/>
  <c r="M5" i="2" s="1"/>
  <c r="N5" i="2" s="1"/>
  <c r="G6" i="2"/>
  <c r="M6" i="2" s="1"/>
  <c r="N6" i="2" s="1"/>
  <c r="G7" i="2"/>
  <c r="M7" i="2" s="1"/>
  <c r="N7" i="2" s="1"/>
  <c r="G8" i="2"/>
  <c r="M8" i="2" s="1"/>
  <c r="N8" i="2" s="1"/>
  <c r="G9" i="2"/>
  <c r="M9" i="2" s="1"/>
  <c r="N9" i="2" s="1"/>
  <c r="G10" i="2"/>
  <c r="M10" i="2" s="1"/>
  <c r="N10" i="2" s="1"/>
  <c r="G11" i="2"/>
  <c r="M11" i="2" s="1"/>
  <c r="N11" i="2" s="1"/>
  <c r="G12" i="2"/>
  <c r="M12" i="2" s="1"/>
  <c r="N12" i="2" s="1"/>
  <c r="G13" i="2"/>
  <c r="M13" i="2" s="1"/>
  <c r="N13" i="2" s="1"/>
  <c r="G14" i="2"/>
  <c r="I14" i="2" s="1"/>
  <c r="G15" i="2"/>
  <c r="I15" i="2" s="1"/>
  <c r="G16" i="2"/>
  <c r="I16" i="2" s="1"/>
  <c r="G17" i="2"/>
  <c r="M17" i="2" s="1"/>
  <c r="N17" i="2" s="1"/>
  <c r="G18" i="2"/>
  <c r="M18" i="2" s="1"/>
  <c r="N18" i="2" s="1"/>
  <c r="G19" i="2"/>
  <c r="M19" i="2" s="1"/>
  <c r="N19" i="2" s="1"/>
  <c r="G20" i="2"/>
  <c r="M20" i="2" s="1"/>
  <c r="N20" i="2" s="1"/>
  <c r="G21" i="2"/>
  <c r="M21" i="2" s="1"/>
  <c r="N21" i="2" s="1"/>
  <c r="G22" i="2"/>
  <c r="M22" i="2" s="1"/>
  <c r="N22" i="2" s="1"/>
  <c r="G2" i="2"/>
  <c r="M2" i="2" s="1"/>
  <c r="N2" i="2" s="1"/>
  <c r="E2" i="2"/>
  <c r="F2" i="2" s="1"/>
  <c r="I17" i="2" l="1"/>
  <c r="I18" i="2"/>
  <c r="L18" i="2" s="1"/>
  <c r="L14" i="2"/>
  <c r="I19" i="2"/>
  <c r="L19" i="2" s="1"/>
  <c r="I13" i="2"/>
  <c r="L13" i="2" s="1"/>
  <c r="L17" i="2"/>
  <c r="I12" i="2"/>
  <c r="L12" i="2" s="1"/>
  <c r="I6" i="2"/>
  <c r="L6" i="2" s="1"/>
  <c r="I8" i="2"/>
  <c r="L8" i="2" s="1"/>
  <c r="I7" i="2"/>
  <c r="L7" i="2" s="1"/>
  <c r="I5" i="2"/>
  <c r="L5" i="2" s="1"/>
  <c r="L16" i="2"/>
  <c r="L4" i="2"/>
  <c r="L15" i="2"/>
  <c r="L3" i="2"/>
  <c r="I20" i="2"/>
  <c r="L20" i="2" s="1"/>
  <c r="M16" i="2"/>
  <c r="N16" i="2" s="1"/>
  <c r="M4" i="2"/>
  <c r="N4" i="2" s="1"/>
  <c r="M15" i="2"/>
  <c r="N15" i="2" s="1"/>
  <c r="M3" i="2"/>
  <c r="N3" i="2" s="1"/>
  <c r="I2" i="2"/>
  <c r="L2" i="2" s="1"/>
  <c r="I11" i="2"/>
  <c r="L11" i="2" s="1"/>
  <c r="M14" i="2"/>
  <c r="N14" i="2" s="1"/>
  <c r="I22" i="2"/>
  <c r="L22" i="2" s="1"/>
  <c r="I10" i="2"/>
  <c r="L10" i="2" s="1"/>
  <c r="I21" i="2"/>
  <c r="L21" i="2" s="1"/>
  <c r="I9" i="2"/>
  <c r="L9" i="2" s="1"/>
</calcChain>
</file>

<file path=xl/sharedStrings.xml><?xml version="1.0" encoding="utf-8"?>
<sst xmlns="http://schemas.openxmlformats.org/spreadsheetml/2006/main" count="50" uniqueCount="41">
  <si>
    <t>P/E</t>
  </si>
  <si>
    <t>Q3 2025</t>
  </si>
  <si>
    <t>P/B.V</t>
  </si>
  <si>
    <t>Average 5Y</t>
  </si>
  <si>
    <t>Code</t>
  </si>
  <si>
    <t>MBED</t>
  </si>
  <si>
    <t>MANE</t>
  </si>
  <si>
    <t>JTEL</t>
  </si>
  <si>
    <t>JOEP</t>
  </si>
  <si>
    <t>JOPH</t>
  </si>
  <si>
    <t>JOIB</t>
  </si>
  <si>
    <t>EPS 24/Q3</t>
  </si>
  <si>
    <t>EPS 25/Q3</t>
  </si>
  <si>
    <t>Last Price</t>
  </si>
  <si>
    <t>P/E * P/B.V.</t>
  </si>
  <si>
    <t>L.P /G.N</t>
  </si>
  <si>
    <t>ICAG</t>
  </si>
  <si>
    <t>TIIC</t>
  </si>
  <si>
    <t>HPIC</t>
  </si>
  <si>
    <t>OFTC</t>
  </si>
  <si>
    <t>DADI</t>
  </si>
  <si>
    <t>JOPT</t>
  </si>
  <si>
    <t>FINS</t>
  </si>
  <si>
    <t>PHIL</t>
  </si>
  <si>
    <t>UMIC</t>
  </si>
  <si>
    <t>SHIP</t>
  </si>
  <si>
    <t>IDMC</t>
  </si>
  <si>
    <t>N.A</t>
  </si>
  <si>
    <t>UCIC</t>
  </si>
  <si>
    <t>TAJM</t>
  </si>
  <si>
    <t>MSFT</t>
  </si>
  <si>
    <t>PROF</t>
  </si>
  <si>
    <t>EPS (2025)</t>
  </si>
  <si>
    <t>Cash Div 25</t>
  </si>
  <si>
    <t>Diff. %</t>
  </si>
  <si>
    <t>Diff.</t>
  </si>
  <si>
    <t>Graham No</t>
  </si>
  <si>
    <t>Dividend %</t>
  </si>
  <si>
    <t>Stock Yeild% 2025</t>
  </si>
  <si>
    <t>Average % 5Y</t>
  </si>
  <si>
    <t>Tot/Avg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</si>
</sst>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"/>
    <numFmt numFmtId="166" formatCode="#,##0.000"/>
    <numFmt numFmtId="167" formatCode="#,##0.000_);[Red]\ \-#,##0.000"/>
    <numFmt numFmtId="168" formatCode="0.00%;[Red]\-0.00%"/>
    <numFmt numFmtId="171" formatCode="[$-14C09]dd/mm/yyyy;@"/>
  </numFmts>
  <fonts count="7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name val="Arial"/>
      <family val="2"/>
      <scheme val="minor"/>
    </font>
    <font>
      <sz val="12"/>
      <name val="Arial"/>
      <family val="2"/>
      <scheme val="minor"/>
    </font>
    <font>
      <b/>
      <sz val="11"/>
      <name val="Arial"/>
      <family val="2"/>
      <scheme val="minor"/>
    </font>
    <font>
      <b/>
      <sz val="12"/>
      <color rgb="FFFF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2" fontId="0" fillId="0" borderId="1" xfId="0" applyNumberFormat="1" applyBorder="1"/>
    <xf numFmtId="164" fontId="0" fillId="0" borderId="1" xfId="1" applyNumberFormat="1" applyFont="1" applyBorder="1"/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6" fillId="0" borderId="0" xfId="0" applyNumberFormat="1" applyFont="1"/>
    <xf numFmtId="0" fontId="6" fillId="0" borderId="0" xfId="0" applyFont="1"/>
    <xf numFmtId="14" fontId="3" fillId="0" borderId="0" xfId="0" applyNumberFormat="1" applyFont="1" applyFill="1" applyBorder="1"/>
    <xf numFmtId="0" fontId="4" fillId="0" borderId="1" xfId="0" applyFont="1" applyBorder="1" applyAlignment="1">
      <alignment horizontal="center"/>
    </xf>
    <xf numFmtId="14" fontId="3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/>
    <xf numFmtId="4" fontId="0" fillId="2" borderId="1" xfId="0" applyNumberForma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168" fontId="5" fillId="0" borderId="1" xfId="0" applyNumberFormat="1" applyFont="1" applyBorder="1" applyAlignment="1">
      <alignment horizontal="center"/>
    </xf>
    <xf numFmtId="171" fontId="0" fillId="0" borderId="0" xfId="0" applyNumberFormat="1"/>
    <xf numFmtId="9" fontId="0" fillId="0" borderId="1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tabSelected="1" workbookViewId="0">
      <selection activeCell="O25" sqref="O25"/>
    </sheetView>
  </sheetViews>
  <sheetFormatPr defaultRowHeight="14.25" x14ac:dyDescent="0.2"/>
  <cols>
    <col min="1" max="1" width="7.125" customWidth="1"/>
    <col min="2" max="2" width="9.875" bestFit="1" customWidth="1"/>
    <col min="3" max="3" width="11.75" customWidth="1"/>
    <col min="4" max="4" width="10.125" bestFit="1" customWidth="1"/>
    <col min="6" max="6" width="9.875" bestFit="1" customWidth="1"/>
    <col min="7" max="7" width="10.375" bestFit="1" customWidth="1"/>
    <col min="12" max="12" width="10.75" bestFit="1" customWidth="1"/>
    <col min="13" max="13" width="10.25" bestFit="1" customWidth="1"/>
    <col min="15" max="15" width="11.875" bestFit="1" customWidth="1"/>
    <col min="16" max="16" width="11.25" bestFit="1" customWidth="1"/>
    <col min="17" max="17" width="13.75" bestFit="1" customWidth="1"/>
    <col min="18" max="18" width="11.25" bestFit="1" customWidth="1"/>
  </cols>
  <sheetData>
    <row r="1" spans="1:18" ht="15" x14ac:dyDescent="0.2">
      <c r="A1" s="4" t="s">
        <v>4</v>
      </c>
      <c r="B1" s="4" t="s">
        <v>13</v>
      </c>
      <c r="C1" s="4" t="s">
        <v>11</v>
      </c>
      <c r="D1" s="4" t="s">
        <v>12</v>
      </c>
      <c r="E1" s="4" t="s">
        <v>35</v>
      </c>
      <c r="F1" s="4" t="s">
        <v>34</v>
      </c>
      <c r="G1" s="4" t="s">
        <v>32</v>
      </c>
      <c r="H1" s="4" t="s">
        <v>37</v>
      </c>
      <c r="I1" s="4" t="s">
        <v>0</v>
      </c>
      <c r="J1" s="4" t="s">
        <v>1</v>
      </c>
      <c r="K1" s="4" t="s">
        <v>2</v>
      </c>
      <c r="L1" s="4" t="s">
        <v>14</v>
      </c>
      <c r="M1" s="4" t="s">
        <v>36</v>
      </c>
      <c r="N1" s="4" t="s">
        <v>15</v>
      </c>
      <c r="O1" s="8" t="s">
        <v>33</v>
      </c>
      <c r="P1" s="8" t="s">
        <v>3</v>
      </c>
      <c r="Q1" s="8" t="s">
        <v>38</v>
      </c>
      <c r="R1" s="8" t="s">
        <v>39</v>
      </c>
    </row>
    <row r="2" spans="1:18" ht="15" x14ac:dyDescent="0.25">
      <c r="A2" s="9" t="s">
        <v>5</v>
      </c>
      <c r="B2" s="3">
        <v>2.82</v>
      </c>
      <c r="C2" s="10">
        <v>0.35099999999999998</v>
      </c>
      <c r="D2" s="10">
        <v>0.29799999999999999</v>
      </c>
      <c r="E2" s="18">
        <f>D2-C2</f>
        <v>-5.2999999999999992E-2</v>
      </c>
      <c r="F2" s="19">
        <f>E2/C2</f>
        <v>-0.15099715099715097</v>
      </c>
      <c r="G2" s="1">
        <f t="shared" ref="G2:G22" si="0">D2/3*4</f>
        <v>0.39733333333333332</v>
      </c>
      <c r="H2" s="21">
        <v>0.15</v>
      </c>
      <c r="I2" s="1">
        <f t="shared" ref="I2:I22" si="1">B2/G2</f>
        <v>7.0973154362416109</v>
      </c>
      <c r="J2" s="11">
        <v>2.4020000000000001</v>
      </c>
      <c r="K2" s="1">
        <f t="shared" ref="K2:K22" si="2">B2/J2</f>
        <v>1.1740216486261448</v>
      </c>
      <c r="L2" s="1">
        <f t="shared" ref="L2:L22" si="3">I2*K2</f>
        <v>8.3324019692761624</v>
      </c>
      <c r="M2" s="1">
        <f t="shared" ref="M2:M22" si="4">SQRT(22.5*G2*J2)</f>
        <v>4.6339917997337894</v>
      </c>
      <c r="N2" s="1">
        <f t="shared" ref="N2:N22" si="5">B2/M2</f>
        <v>0.60854660989300879</v>
      </c>
      <c r="O2" s="2">
        <v>0.15</v>
      </c>
      <c r="P2" s="2">
        <v>0.10800000000000001</v>
      </c>
      <c r="Q2" s="2">
        <f t="shared" ref="Q2:Q22" si="6">O2/B2</f>
        <v>5.3191489361702128E-2</v>
      </c>
      <c r="R2" s="2">
        <f t="shared" ref="R2:R17" si="7">P2/B2</f>
        <v>3.8297872340425539E-2</v>
      </c>
    </row>
    <row r="3" spans="1:18" ht="15" x14ac:dyDescent="0.25">
      <c r="A3" s="9" t="s">
        <v>6</v>
      </c>
      <c r="B3" s="3">
        <v>2.17</v>
      </c>
      <c r="C3" s="10">
        <v>0.113</v>
      </c>
      <c r="D3" s="10">
        <v>0.14299999999999999</v>
      </c>
      <c r="E3" s="18">
        <f t="shared" ref="E3:E22" si="8">D3-C3</f>
        <v>2.9999999999999985E-2</v>
      </c>
      <c r="F3" s="19">
        <f t="shared" ref="F3:F22" si="9">E3/C3</f>
        <v>0.26548672566371667</v>
      </c>
      <c r="G3" s="1">
        <f t="shared" si="0"/>
        <v>0.19066666666666665</v>
      </c>
      <c r="H3" s="21">
        <v>0.15</v>
      </c>
      <c r="I3" s="1">
        <f t="shared" si="1"/>
        <v>11.381118881118882</v>
      </c>
      <c r="J3" s="11">
        <v>1.5980000000000001</v>
      </c>
      <c r="K3" s="1">
        <f t="shared" si="2"/>
        <v>1.3579474342928659</v>
      </c>
      <c r="L3" s="1">
        <f t="shared" si="3"/>
        <v>15.454961183997478</v>
      </c>
      <c r="M3" s="1">
        <f t="shared" si="4"/>
        <v>2.6182856986967638</v>
      </c>
      <c r="N3" s="1">
        <f t="shared" si="5"/>
        <v>0.82878656102353709</v>
      </c>
      <c r="O3" s="2">
        <v>0.15</v>
      </c>
      <c r="P3" s="2">
        <v>0.14100000000000001</v>
      </c>
      <c r="Q3" s="2">
        <f t="shared" si="6"/>
        <v>6.9124423963133647E-2</v>
      </c>
      <c r="R3" s="2">
        <f t="shared" si="7"/>
        <v>6.4976958525345629E-2</v>
      </c>
    </row>
    <row r="4" spans="1:18" ht="15" x14ac:dyDescent="0.25">
      <c r="A4" s="9" t="s">
        <v>7</v>
      </c>
      <c r="B4" s="3">
        <v>3.06</v>
      </c>
      <c r="C4" s="10">
        <v>0.16600000000000001</v>
      </c>
      <c r="D4" s="10">
        <v>0.151</v>
      </c>
      <c r="E4" s="18">
        <f t="shared" si="8"/>
        <v>-1.5000000000000013E-2</v>
      </c>
      <c r="F4" s="19">
        <f t="shared" si="9"/>
        <v>-9.0361445783132599E-2</v>
      </c>
      <c r="G4" s="1">
        <f t="shared" si="0"/>
        <v>0.20133333333333334</v>
      </c>
      <c r="H4" s="21">
        <v>0.18</v>
      </c>
      <c r="I4" s="1">
        <f t="shared" si="1"/>
        <v>15.198675496688741</v>
      </c>
      <c r="J4" s="11">
        <v>1.5569999999999999</v>
      </c>
      <c r="K4" s="1">
        <f t="shared" si="2"/>
        <v>1.9653179190751446</v>
      </c>
      <c r="L4" s="1">
        <f t="shared" si="3"/>
        <v>29.870229299850706</v>
      </c>
      <c r="M4" s="1">
        <f t="shared" si="4"/>
        <v>2.655788018649079</v>
      </c>
      <c r="N4" s="1">
        <f t="shared" si="5"/>
        <v>1.1522003934472647</v>
      </c>
      <c r="O4" s="2">
        <v>0.18</v>
      </c>
      <c r="P4" s="2">
        <v>0.1948</v>
      </c>
      <c r="Q4" s="2">
        <f t="shared" si="6"/>
        <v>5.8823529411764705E-2</v>
      </c>
      <c r="R4" s="2">
        <f t="shared" si="7"/>
        <v>6.3660130718954253E-2</v>
      </c>
    </row>
    <row r="5" spans="1:18" ht="15" x14ac:dyDescent="0.25">
      <c r="A5" s="9" t="s">
        <v>10</v>
      </c>
      <c r="B5" s="3">
        <v>4.42</v>
      </c>
      <c r="C5" s="10">
        <v>0.249</v>
      </c>
      <c r="D5" s="10">
        <v>0.26900000000000002</v>
      </c>
      <c r="E5" s="18">
        <f t="shared" si="8"/>
        <v>2.0000000000000018E-2</v>
      </c>
      <c r="F5" s="19">
        <f t="shared" si="9"/>
        <v>8.0321285140562318E-2</v>
      </c>
      <c r="G5" s="1">
        <f t="shared" si="0"/>
        <v>0.35866666666666669</v>
      </c>
      <c r="H5" s="21">
        <v>0.25</v>
      </c>
      <c r="I5" s="1">
        <f t="shared" si="1"/>
        <v>12.323420074349441</v>
      </c>
      <c r="J5" s="11">
        <v>2.8530000000000002</v>
      </c>
      <c r="K5" s="1">
        <f t="shared" si="2"/>
        <v>1.5492464072905712</v>
      </c>
      <c r="L5" s="1">
        <f t="shared" si="3"/>
        <v>19.092014275718373</v>
      </c>
      <c r="M5" s="1">
        <f t="shared" si="4"/>
        <v>4.7983028249580082</v>
      </c>
      <c r="N5" s="1">
        <f t="shared" si="5"/>
        <v>0.92115903502582308</v>
      </c>
      <c r="O5" s="2">
        <v>0.25</v>
      </c>
      <c r="P5" s="2">
        <v>0.24399999999999999</v>
      </c>
      <c r="Q5" s="2">
        <f t="shared" si="6"/>
        <v>5.6561085972850679E-2</v>
      </c>
      <c r="R5" s="2">
        <f t="shared" si="7"/>
        <v>5.5203619909502261E-2</v>
      </c>
    </row>
    <row r="6" spans="1:18" ht="15" x14ac:dyDescent="0.25">
      <c r="A6" s="9" t="s">
        <v>8</v>
      </c>
      <c r="B6" s="3">
        <v>3.15</v>
      </c>
      <c r="C6" s="12">
        <v>0.14299999999999999</v>
      </c>
      <c r="D6" s="12">
        <v>0.192</v>
      </c>
      <c r="E6" s="18">
        <f t="shared" si="8"/>
        <v>4.9000000000000016E-2</v>
      </c>
      <c r="F6" s="19">
        <f t="shared" si="9"/>
        <v>0.34265734265734282</v>
      </c>
      <c r="G6" s="1">
        <f t="shared" si="0"/>
        <v>0.25600000000000001</v>
      </c>
      <c r="H6" s="21">
        <v>0.2</v>
      </c>
      <c r="I6" s="1">
        <f t="shared" si="1"/>
        <v>12.3046875</v>
      </c>
      <c r="J6" s="11">
        <v>1.637</v>
      </c>
      <c r="K6" s="1">
        <f t="shared" si="2"/>
        <v>1.9242516799022602</v>
      </c>
      <c r="L6" s="1">
        <f t="shared" si="3"/>
        <v>23.677315592547341</v>
      </c>
      <c r="M6" s="1">
        <f t="shared" si="4"/>
        <v>3.0706872194998955</v>
      </c>
      <c r="N6" s="1">
        <f t="shared" si="5"/>
        <v>1.0258290001001866</v>
      </c>
      <c r="O6" s="2">
        <v>0.2</v>
      </c>
      <c r="P6" s="2">
        <v>0.13799999999999998</v>
      </c>
      <c r="Q6" s="2">
        <f t="shared" si="6"/>
        <v>6.3492063492063502E-2</v>
      </c>
      <c r="R6" s="2">
        <f t="shared" si="7"/>
        <v>4.3809523809523805E-2</v>
      </c>
    </row>
    <row r="7" spans="1:18" ht="15" x14ac:dyDescent="0.25">
      <c r="A7" s="9" t="s">
        <v>9</v>
      </c>
      <c r="B7" s="3">
        <v>22.73</v>
      </c>
      <c r="C7" s="10">
        <v>1.2709999999999999</v>
      </c>
      <c r="D7" s="10">
        <v>1.3859999999999999</v>
      </c>
      <c r="E7" s="18">
        <f t="shared" si="8"/>
        <v>0.11499999999999999</v>
      </c>
      <c r="F7" s="19">
        <f t="shared" si="9"/>
        <v>9.0479937057435095E-2</v>
      </c>
      <c r="G7" s="1">
        <f t="shared" si="0"/>
        <v>1.8479999999999999</v>
      </c>
      <c r="H7" s="21">
        <v>1.6</v>
      </c>
      <c r="I7" s="1">
        <f t="shared" si="1"/>
        <v>12.299783549783552</v>
      </c>
      <c r="J7" s="11">
        <v>6.0869999999999997</v>
      </c>
      <c r="K7" s="1">
        <f t="shared" si="2"/>
        <v>3.7341876129456222</v>
      </c>
      <c r="L7" s="1">
        <f t="shared" si="3"/>
        <v>45.929699373514069</v>
      </c>
      <c r="M7" s="1">
        <f t="shared" si="4"/>
        <v>15.9090370544543</v>
      </c>
      <c r="N7" s="1">
        <f t="shared" si="5"/>
        <v>1.4287476936660934</v>
      </c>
      <c r="O7" s="2">
        <v>1.6</v>
      </c>
      <c r="P7" s="2">
        <v>1.5</v>
      </c>
      <c r="Q7" s="2">
        <f t="shared" si="6"/>
        <v>7.0391553013638364E-2</v>
      </c>
      <c r="R7" s="2">
        <f t="shared" si="7"/>
        <v>6.599208095028597E-2</v>
      </c>
    </row>
    <row r="8" spans="1:18" ht="15" x14ac:dyDescent="0.25">
      <c r="A8" s="9" t="s">
        <v>16</v>
      </c>
      <c r="B8" s="3">
        <v>0.84</v>
      </c>
      <c r="C8" s="10">
        <v>5.2999999999999999E-2</v>
      </c>
      <c r="D8" s="10">
        <v>2.1000000000000001E-2</v>
      </c>
      <c r="E8" s="18">
        <f t="shared" si="8"/>
        <v>-3.2000000000000001E-2</v>
      </c>
      <c r="F8" s="19">
        <f t="shared" si="9"/>
        <v>-0.60377358490566035</v>
      </c>
      <c r="G8" s="1">
        <f t="shared" si="0"/>
        <v>2.8000000000000001E-2</v>
      </c>
      <c r="H8" s="21">
        <v>0.04</v>
      </c>
      <c r="I8" s="1">
        <f t="shared" si="1"/>
        <v>30</v>
      </c>
      <c r="J8" s="11">
        <v>1.2969999999999999</v>
      </c>
      <c r="K8" s="1">
        <f t="shared" si="2"/>
        <v>0.64764841942945262</v>
      </c>
      <c r="L8" s="1">
        <f t="shared" si="3"/>
        <v>19.429452582883577</v>
      </c>
      <c r="M8" s="1">
        <f t="shared" si="4"/>
        <v>0.90394136978014228</v>
      </c>
      <c r="N8" s="1">
        <f t="shared" si="5"/>
        <v>0.92926380856349766</v>
      </c>
      <c r="O8" s="2">
        <v>0.04</v>
      </c>
      <c r="P8" s="2">
        <v>0.05</v>
      </c>
      <c r="Q8" s="2">
        <f t="shared" si="6"/>
        <v>4.7619047619047623E-2</v>
      </c>
      <c r="R8" s="2">
        <f t="shared" si="7"/>
        <v>5.9523809523809527E-2</v>
      </c>
    </row>
    <row r="9" spans="1:18" ht="15" x14ac:dyDescent="0.25">
      <c r="A9" s="9" t="s">
        <v>17</v>
      </c>
      <c r="B9" s="3">
        <v>1.91</v>
      </c>
      <c r="C9" s="10">
        <v>9.5000000000000001E-2</v>
      </c>
      <c r="D9" s="10">
        <v>0.156</v>
      </c>
      <c r="E9" s="18">
        <f t="shared" si="8"/>
        <v>6.0999999999999999E-2</v>
      </c>
      <c r="F9" s="19">
        <f t="shared" si="9"/>
        <v>0.64210526315789473</v>
      </c>
      <c r="G9" s="1">
        <f t="shared" si="0"/>
        <v>0.20799999999999999</v>
      </c>
      <c r="H9" s="21">
        <v>0.15</v>
      </c>
      <c r="I9" s="1">
        <f t="shared" si="1"/>
        <v>9.1826923076923084</v>
      </c>
      <c r="J9" s="11">
        <v>1.5589999999999999</v>
      </c>
      <c r="K9" s="1">
        <f t="shared" si="2"/>
        <v>1.2251443232841566</v>
      </c>
      <c r="L9" s="1">
        <f t="shared" si="3"/>
        <v>11.250123353234324</v>
      </c>
      <c r="M9" s="1">
        <f t="shared" si="4"/>
        <v>2.701133095573041</v>
      </c>
      <c r="N9" s="1">
        <f t="shared" si="5"/>
        <v>0.70711065779407534</v>
      </c>
      <c r="O9" s="2">
        <v>0.15</v>
      </c>
      <c r="P9" s="2">
        <v>0.10200000000000001</v>
      </c>
      <c r="Q9" s="2">
        <f t="shared" si="6"/>
        <v>7.8534031413612565E-2</v>
      </c>
      <c r="R9" s="2">
        <f t="shared" si="7"/>
        <v>5.3403141361256554E-2</v>
      </c>
    </row>
    <row r="10" spans="1:18" ht="15" x14ac:dyDescent="0.25">
      <c r="A10" s="9" t="s">
        <v>18</v>
      </c>
      <c r="B10" s="3">
        <v>3.12</v>
      </c>
      <c r="C10" s="10">
        <v>0.11799999999999999</v>
      </c>
      <c r="D10" s="10">
        <v>0.14899999999999999</v>
      </c>
      <c r="E10" s="18">
        <f t="shared" si="8"/>
        <v>3.1E-2</v>
      </c>
      <c r="F10" s="19">
        <f t="shared" si="9"/>
        <v>0.26271186440677968</v>
      </c>
      <c r="G10" s="1">
        <f t="shared" si="0"/>
        <v>0.19866666666666666</v>
      </c>
      <c r="H10" s="21">
        <v>0.18</v>
      </c>
      <c r="I10" s="1">
        <f t="shared" si="1"/>
        <v>15.704697986577182</v>
      </c>
      <c r="J10" s="11">
        <v>3.1749999999999998</v>
      </c>
      <c r="K10" s="1">
        <f t="shared" si="2"/>
        <v>0.98267716535433081</v>
      </c>
      <c r="L10" s="1">
        <f t="shared" si="3"/>
        <v>15.432648100195532</v>
      </c>
      <c r="M10" s="1">
        <f t="shared" si="4"/>
        <v>3.7672602777084565</v>
      </c>
      <c r="N10" s="1">
        <f t="shared" si="5"/>
        <v>0.82818806506722942</v>
      </c>
      <c r="O10" s="2">
        <v>0.18</v>
      </c>
      <c r="P10" s="2">
        <v>0.21299999999999999</v>
      </c>
      <c r="Q10" s="2">
        <f t="shared" si="6"/>
        <v>5.7692307692307689E-2</v>
      </c>
      <c r="R10" s="2">
        <f t="shared" si="7"/>
        <v>6.8269230769230763E-2</v>
      </c>
    </row>
    <row r="11" spans="1:18" ht="15" x14ac:dyDescent="0.25">
      <c r="A11" s="13" t="s">
        <v>19</v>
      </c>
      <c r="B11" s="14">
        <v>1.21</v>
      </c>
      <c r="C11" s="12">
        <v>4.2999999999999997E-2</v>
      </c>
      <c r="D11" s="12">
        <v>0.1</v>
      </c>
      <c r="E11" s="18">
        <f t="shared" si="8"/>
        <v>5.7000000000000009E-2</v>
      </c>
      <c r="F11" s="19">
        <f t="shared" si="9"/>
        <v>1.3255813953488376</v>
      </c>
      <c r="G11" s="1">
        <f t="shared" si="0"/>
        <v>0.13333333333333333</v>
      </c>
      <c r="H11" s="21">
        <v>0.1</v>
      </c>
      <c r="I11" s="1">
        <f t="shared" si="1"/>
        <v>9.0749999999999993</v>
      </c>
      <c r="J11" s="15">
        <v>1.343</v>
      </c>
      <c r="K11" s="1">
        <f t="shared" si="2"/>
        <v>0.90096798212956064</v>
      </c>
      <c r="L11" s="1">
        <f t="shared" si="3"/>
        <v>8.1762844378257622</v>
      </c>
      <c r="M11" s="1">
        <f t="shared" si="4"/>
        <v>2.00723690679501</v>
      </c>
      <c r="N11" s="1">
        <f t="shared" si="5"/>
        <v>0.60281872852369378</v>
      </c>
      <c r="O11" s="2">
        <v>0.1</v>
      </c>
      <c r="P11" s="2">
        <v>3.1040000000000002E-2</v>
      </c>
      <c r="Q11" s="2">
        <f t="shared" si="6"/>
        <v>8.2644628099173556E-2</v>
      </c>
      <c r="R11" s="2">
        <f t="shared" si="7"/>
        <v>2.5652892561983474E-2</v>
      </c>
    </row>
    <row r="12" spans="1:18" ht="15" x14ac:dyDescent="0.25">
      <c r="A12" s="9" t="s">
        <v>20</v>
      </c>
      <c r="B12" s="3">
        <v>1.1399999999999999</v>
      </c>
      <c r="C12" s="10">
        <v>6.9000000000000006E-2</v>
      </c>
      <c r="D12" s="10">
        <v>8.2000000000000003E-2</v>
      </c>
      <c r="E12" s="18">
        <f t="shared" si="8"/>
        <v>1.2999999999999998E-2</v>
      </c>
      <c r="F12" s="19">
        <f t="shared" si="9"/>
        <v>0.18840579710144922</v>
      </c>
      <c r="G12" s="1">
        <f t="shared" si="0"/>
        <v>0.10933333333333334</v>
      </c>
      <c r="H12" s="21">
        <v>0.08</v>
      </c>
      <c r="I12" s="1">
        <f t="shared" si="1"/>
        <v>10.426829268292682</v>
      </c>
      <c r="J12" s="11">
        <v>1.6870000000000001</v>
      </c>
      <c r="K12" s="1">
        <f t="shared" si="2"/>
        <v>0.67575577949021925</v>
      </c>
      <c r="L12" s="1">
        <f t="shared" si="3"/>
        <v>7.0459901398065536</v>
      </c>
      <c r="M12" s="1">
        <f t="shared" si="4"/>
        <v>2.0371597875473588</v>
      </c>
      <c r="N12" s="1">
        <f t="shared" si="5"/>
        <v>0.55960264234967272</v>
      </c>
      <c r="O12" s="2">
        <v>0.08</v>
      </c>
      <c r="P12" s="2">
        <v>2.6000000000000002E-2</v>
      </c>
      <c r="Q12" s="2">
        <f t="shared" si="6"/>
        <v>7.0175438596491238E-2</v>
      </c>
      <c r="R12" s="2">
        <f t="shared" si="7"/>
        <v>2.2807017543859654E-2</v>
      </c>
    </row>
    <row r="13" spans="1:18" ht="15" x14ac:dyDescent="0.25">
      <c r="A13" s="9" t="s">
        <v>21</v>
      </c>
      <c r="B13" s="3">
        <v>5.47</v>
      </c>
      <c r="C13" s="10">
        <v>0.49399999999999999</v>
      </c>
      <c r="D13" s="10">
        <v>0.379</v>
      </c>
      <c r="E13" s="18">
        <f t="shared" si="8"/>
        <v>-0.11499999999999999</v>
      </c>
      <c r="F13" s="19">
        <f t="shared" si="9"/>
        <v>-0.23279352226720645</v>
      </c>
      <c r="G13" s="1">
        <f t="shared" si="0"/>
        <v>0.5053333333333333</v>
      </c>
      <c r="H13" s="21">
        <v>0.4</v>
      </c>
      <c r="I13" s="1">
        <f t="shared" si="1"/>
        <v>10.824538258575197</v>
      </c>
      <c r="J13" s="11">
        <v>6.4669999999999996</v>
      </c>
      <c r="K13" s="1">
        <f t="shared" si="2"/>
        <v>0.84583268903664766</v>
      </c>
      <c r="L13" s="1">
        <f t="shared" si="3"/>
        <v>9.1557483028307303</v>
      </c>
      <c r="M13" s="1">
        <f t="shared" si="4"/>
        <v>8.5749513118151288</v>
      </c>
      <c r="N13" s="1">
        <f t="shared" si="5"/>
        <v>0.63790449660782045</v>
      </c>
      <c r="O13" s="2">
        <v>0.4</v>
      </c>
      <c r="P13" s="2">
        <v>0.43</v>
      </c>
      <c r="Q13" s="2">
        <f t="shared" si="6"/>
        <v>7.3126142595978064E-2</v>
      </c>
      <c r="R13" s="2">
        <f t="shared" si="7"/>
        <v>7.8610603290676415E-2</v>
      </c>
    </row>
    <row r="14" spans="1:18" ht="15" x14ac:dyDescent="0.25">
      <c r="A14" s="9" t="s">
        <v>22</v>
      </c>
      <c r="B14" s="3">
        <v>0.82</v>
      </c>
      <c r="C14" s="10">
        <v>7.5999999999999998E-2</v>
      </c>
      <c r="D14" s="10">
        <v>8.6999999999999994E-2</v>
      </c>
      <c r="E14" s="18">
        <f t="shared" si="8"/>
        <v>1.0999999999999996E-2</v>
      </c>
      <c r="F14" s="19">
        <f t="shared" si="9"/>
        <v>0.14473684210526311</v>
      </c>
      <c r="G14" s="1">
        <f t="shared" si="0"/>
        <v>0.11599999999999999</v>
      </c>
      <c r="H14" s="21">
        <v>0.1</v>
      </c>
      <c r="I14" s="1">
        <f t="shared" si="1"/>
        <v>7.068965517241379</v>
      </c>
      <c r="J14" s="11">
        <v>1.355</v>
      </c>
      <c r="K14" s="1">
        <f t="shared" si="2"/>
        <v>0.60516605166051662</v>
      </c>
      <c r="L14" s="1">
        <f t="shared" si="3"/>
        <v>4.2778979513933066</v>
      </c>
      <c r="M14" s="1">
        <f t="shared" si="4"/>
        <v>1.8805717215783075</v>
      </c>
      <c r="N14" s="1">
        <f t="shared" si="5"/>
        <v>0.43603761057929685</v>
      </c>
      <c r="O14" s="2">
        <v>0.1</v>
      </c>
      <c r="P14" s="2">
        <v>4.3999999999999997E-2</v>
      </c>
      <c r="Q14" s="2">
        <f t="shared" si="6"/>
        <v>0.12195121951219513</v>
      </c>
      <c r="R14" s="2">
        <f t="shared" si="7"/>
        <v>5.3658536585365853E-2</v>
      </c>
    </row>
    <row r="15" spans="1:18" ht="15" x14ac:dyDescent="0.25">
      <c r="A15" s="9" t="s">
        <v>23</v>
      </c>
      <c r="B15" s="3">
        <v>1.55</v>
      </c>
      <c r="C15" s="10">
        <v>7.5999999999999998E-2</v>
      </c>
      <c r="D15" s="10">
        <v>8.7999999999999995E-2</v>
      </c>
      <c r="E15" s="18">
        <f t="shared" si="8"/>
        <v>1.1999999999999997E-2</v>
      </c>
      <c r="F15" s="19">
        <f t="shared" si="9"/>
        <v>0.15789473684210523</v>
      </c>
      <c r="G15" s="1">
        <f t="shared" si="0"/>
        <v>0.11733333333333333</v>
      </c>
      <c r="H15" s="21">
        <v>0.1</v>
      </c>
      <c r="I15" s="1">
        <f t="shared" si="1"/>
        <v>13.210227272727273</v>
      </c>
      <c r="J15" s="11">
        <v>1.7569999999999999</v>
      </c>
      <c r="K15" s="1">
        <f t="shared" si="2"/>
        <v>0.88218554354012524</v>
      </c>
      <c r="L15" s="1">
        <f t="shared" si="3"/>
        <v>11.653871526879495</v>
      </c>
      <c r="M15" s="1">
        <f t="shared" si="4"/>
        <v>2.1537130728116964</v>
      </c>
      <c r="N15" s="1">
        <f t="shared" si="5"/>
        <v>0.7196873249120681</v>
      </c>
      <c r="O15" s="2">
        <v>0.1</v>
      </c>
      <c r="P15" s="2">
        <v>7.1999999999999995E-2</v>
      </c>
      <c r="Q15" s="2">
        <f t="shared" si="6"/>
        <v>6.4516129032258063E-2</v>
      </c>
      <c r="R15" s="2">
        <f t="shared" si="7"/>
        <v>4.6451612903225803E-2</v>
      </c>
    </row>
    <row r="16" spans="1:18" ht="15" x14ac:dyDescent="0.25">
      <c r="A16" s="9" t="s">
        <v>24</v>
      </c>
      <c r="B16" s="3">
        <v>1.84</v>
      </c>
      <c r="C16" s="10">
        <v>3.5999999999999997E-2</v>
      </c>
      <c r="D16" s="10">
        <v>8.9999999999999993E-3</v>
      </c>
      <c r="E16" s="18">
        <f t="shared" si="8"/>
        <v>-2.6999999999999996E-2</v>
      </c>
      <c r="F16" s="19">
        <f t="shared" si="9"/>
        <v>-0.75</v>
      </c>
      <c r="G16" s="1">
        <f t="shared" si="0"/>
        <v>1.1999999999999999E-2</v>
      </c>
      <c r="H16" s="21">
        <v>0.02</v>
      </c>
      <c r="I16" s="1">
        <f t="shared" si="1"/>
        <v>153.33333333333337</v>
      </c>
      <c r="J16" s="11">
        <v>1.3879999999999999</v>
      </c>
      <c r="K16" s="1">
        <f t="shared" si="2"/>
        <v>1.3256484149855909</v>
      </c>
      <c r="L16" s="1">
        <f t="shared" si="3"/>
        <v>203.26609029779067</v>
      </c>
      <c r="M16" s="1">
        <f t="shared" si="4"/>
        <v>0.61217644515286596</v>
      </c>
      <c r="N16" s="1">
        <f t="shared" si="5"/>
        <v>3.0056693859570758</v>
      </c>
      <c r="O16" s="2">
        <v>0.02</v>
      </c>
      <c r="P16" s="2">
        <v>0.11400000000000002</v>
      </c>
      <c r="Q16" s="2">
        <f t="shared" si="6"/>
        <v>1.0869565217391304E-2</v>
      </c>
      <c r="R16" s="2">
        <f t="shared" si="7"/>
        <v>6.1956521739130445E-2</v>
      </c>
    </row>
    <row r="17" spans="1:18" ht="15" x14ac:dyDescent="0.25">
      <c r="A17" s="9" t="s">
        <v>25</v>
      </c>
      <c r="B17" s="3">
        <v>3.2</v>
      </c>
      <c r="C17" s="10">
        <v>0.214</v>
      </c>
      <c r="D17" s="10">
        <v>0.28499999999999998</v>
      </c>
      <c r="E17" s="18">
        <f t="shared" si="8"/>
        <v>7.099999999999998E-2</v>
      </c>
      <c r="F17" s="19">
        <f t="shared" si="9"/>
        <v>0.33177570093457937</v>
      </c>
      <c r="G17" s="1">
        <f t="shared" si="0"/>
        <v>0.37999999999999995</v>
      </c>
      <c r="H17" s="21">
        <v>0.3</v>
      </c>
      <c r="I17" s="1">
        <f t="shared" si="1"/>
        <v>8.4210526315789487</v>
      </c>
      <c r="J17" s="11">
        <v>2.1059999999999999</v>
      </c>
      <c r="K17" s="1">
        <f t="shared" si="2"/>
        <v>1.5194681861348529</v>
      </c>
      <c r="L17" s="1">
        <f t="shared" si="3"/>
        <v>12.795521567451395</v>
      </c>
      <c r="M17" s="1">
        <f t="shared" si="4"/>
        <v>4.2433830842854618</v>
      </c>
      <c r="N17" s="1">
        <f t="shared" si="5"/>
        <v>0.75411527463795891</v>
      </c>
      <c r="O17" s="2">
        <v>0.3</v>
      </c>
      <c r="P17" s="2">
        <v>0.2</v>
      </c>
      <c r="Q17" s="2">
        <f t="shared" si="6"/>
        <v>9.3749999999999986E-2</v>
      </c>
      <c r="R17" s="2">
        <f t="shared" si="7"/>
        <v>6.25E-2</v>
      </c>
    </row>
    <row r="18" spans="1:18" ht="15" x14ac:dyDescent="0.25">
      <c r="A18" s="9" t="s">
        <v>26</v>
      </c>
      <c r="B18" s="3">
        <v>1.1100000000000001</v>
      </c>
      <c r="C18" s="10">
        <v>4.5999999999999999E-2</v>
      </c>
      <c r="D18" s="10">
        <v>5.8999999999999997E-2</v>
      </c>
      <c r="E18" s="18">
        <f t="shared" si="8"/>
        <v>1.2999999999999998E-2</v>
      </c>
      <c r="F18" s="19">
        <f t="shared" si="9"/>
        <v>0.28260869565217389</v>
      </c>
      <c r="G18" s="1">
        <f t="shared" si="0"/>
        <v>7.8666666666666663E-2</v>
      </c>
      <c r="H18" s="21">
        <v>7.0000000000000007E-2</v>
      </c>
      <c r="I18" s="1">
        <f t="shared" si="1"/>
        <v>14.110169491525426</v>
      </c>
      <c r="J18" s="11">
        <v>1.6890000000000001</v>
      </c>
      <c r="K18" s="1">
        <f t="shared" si="2"/>
        <v>0.65719360568383667</v>
      </c>
      <c r="L18" s="1">
        <f t="shared" si="3"/>
        <v>9.2731131649456628</v>
      </c>
      <c r="M18" s="1">
        <f t="shared" si="4"/>
        <v>1.7290257372289171</v>
      </c>
      <c r="N18" s="1">
        <f t="shared" si="5"/>
        <v>0.64198003309018403</v>
      </c>
      <c r="O18" s="2">
        <v>7.0000000000000007E-2</v>
      </c>
      <c r="P18" s="16" t="s">
        <v>27</v>
      </c>
      <c r="Q18" s="2">
        <f t="shared" si="6"/>
        <v>6.3063063063063057E-2</v>
      </c>
      <c r="R18" s="16" t="s">
        <v>27</v>
      </c>
    </row>
    <row r="19" spans="1:18" ht="15" x14ac:dyDescent="0.25">
      <c r="A19" s="9" t="s">
        <v>28</v>
      </c>
      <c r="B19" s="3">
        <v>1.04</v>
      </c>
      <c r="C19" s="10">
        <v>4.2999999999999997E-2</v>
      </c>
      <c r="D19" s="10">
        <v>8.5999999999999993E-2</v>
      </c>
      <c r="E19" s="18">
        <f t="shared" si="8"/>
        <v>4.2999999999999997E-2</v>
      </c>
      <c r="F19" s="19">
        <f t="shared" si="9"/>
        <v>1</v>
      </c>
      <c r="G19" s="1">
        <f t="shared" si="0"/>
        <v>0.11466666666666665</v>
      </c>
      <c r="H19" s="21">
        <v>0.08</v>
      </c>
      <c r="I19" s="1">
        <f t="shared" si="1"/>
        <v>9.069767441860467</v>
      </c>
      <c r="J19" s="11">
        <v>1.0980000000000001</v>
      </c>
      <c r="K19" s="1">
        <f t="shared" si="2"/>
        <v>0.94717668488160289</v>
      </c>
      <c r="L19" s="1">
        <f t="shared" si="3"/>
        <v>8.5906722582284925</v>
      </c>
      <c r="M19" s="1">
        <f t="shared" si="4"/>
        <v>1.6831042748445504</v>
      </c>
      <c r="N19" s="1">
        <f t="shared" si="5"/>
        <v>0.61790586331678898</v>
      </c>
      <c r="O19" s="2">
        <v>0.08</v>
      </c>
      <c r="P19" s="16" t="s">
        <v>27</v>
      </c>
      <c r="Q19" s="2">
        <f t="shared" si="6"/>
        <v>7.6923076923076927E-2</v>
      </c>
      <c r="R19" s="16" t="s">
        <v>27</v>
      </c>
    </row>
    <row r="20" spans="1:18" ht="15" x14ac:dyDescent="0.25">
      <c r="A20" s="9" t="s">
        <v>29</v>
      </c>
      <c r="B20" s="3">
        <v>0.66</v>
      </c>
      <c r="C20" s="10">
        <v>1.9E-2</v>
      </c>
      <c r="D20" s="10">
        <v>2.4E-2</v>
      </c>
      <c r="E20" s="18">
        <f t="shared" si="8"/>
        <v>5.000000000000001E-3</v>
      </c>
      <c r="F20" s="19">
        <f t="shared" si="9"/>
        <v>0.26315789473684215</v>
      </c>
      <c r="G20" s="1">
        <f t="shared" si="0"/>
        <v>3.2000000000000001E-2</v>
      </c>
      <c r="H20" s="21">
        <v>0.03</v>
      </c>
      <c r="I20" s="1">
        <f t="shared" si="1"/>
        <v>20.625</v>
      </c>
      <c r="J20" s="11">
        <v>1.153</v>
      </c>
      <c r="K20" s="1">
        <f t="shared" si="2"/>
        <v>0.57241977450130099</v>
      </c>
      <c r="L20" s="1">
        <f t="shared" si="3"/>
        <v>11.806157849089333</v>
      </c>
      <c r="M20" s="1">
        <f t="shared" si="4"/>
        <v>0.91113116509095438</v>
      </c>
      <c r="N20" s="1">
        <f t="shared" si="5"/>
        <v>0.72437430008676629</v>
      </c>
      <c r="O20" s="2">
        <v>0.03</v>
      </c>
      <c r="P20" s="16" t="s">
        <v>27</v>
      </c>
      <c r="Q20" s="2">
        <f t="shared" si="6"/>
        <v>4.5454545454545449E-2</v>
      </c>
      <c r="R20" s="16" t="s">
        <v>27</v>
      </c>
    </row>
    <row r="21" spans="1:18" ht="15" x14ac:dyDescent="0.25">
      <c r="A21" s="9" t="s">
        <v>30</v>
      </c>
      <c r="B21" s="3">
        <v>0.75</v>
      </c>
      <c r="C21" s="17">
        <v>3.9E-2</v>
      </c>
      <c r="D21" s="17">
        <v>4.5999999999999999E-2</v>
      </c>
      <c r="E21" s="18">
        <f t="shared" si="8"/>
        <v>6.9999999999999993E-3</v>
      </c>
      <c r="F21" s="19">
        <f t="shared" si="9"/>
        <v>0.17948717948717946</v>
      </c>
      <c r="G21" s="1">
        <f t="shared" si="0"/>
        <v>6.133333333333333E-2</v>
      </c>
      <c r="H21" s="21">
        <v>0.05</v>
      </c>
      <c r="I21" s="1">
        <f t="shared" si="1"/>
        <v>12.228260869565219</v>
      </c>
      <c r="J21" s="11">
        <v>1.2889999999999999</v>
      </c>
      <c r="K21" s="1">
        <f t="shared" si="2"/>
        <v>0.58184639255236625</v>
      </c>
      <c r="L21" s="1">
        <f t="shared" si="3"/>
        <v>7.1149694741457834</v>
      </c>
      <c r="M21" s="1">
        <f t="shared" si="4"/>
        <v>1.3337241094019407</v>
      </c>
      <c r="N21" s="1">
        <f t="shared" si="5"/>
        <v>0.56233518964901197</v>
      </c>
      <c r="O21" s="2">
        <v>0.05</v>
      </c>
      <c r="P21" s="16" t="s">
        <v>27</v>
      </c>
      <c r="Q21" s="2">
        <f t="shared" si="6"/>
        <v>6.6666666666666666E-2</v>
      </c>
      <c r="R21" s="16" t="s">
        <v>27</v>
      </c>
    </row>
    <row r="22" spans="1:18" ht="15" x14ac:dyDescent="0.25">
      <c r="A22" s="9" t="s">
        <v>31</v>
      </c>
      <c r="B22" s="3">
        <v>0.71</v>
      </c>
      <c r="C22" s="10">
        <v>1.9E-2</v>
      </c>
      <c r="D22" s="10">
        <v>4.8000000000000001E-2</v>
      </c>
      <c r="E22" s="18">
        <f t="shared" si="8"/>
        <v>2.9000000000000001E-2</v>
      </c>
      <c r="F22" s="19">
        <f t="shared" si="9"/>
        <v>1.5263157894736843</v>
      </c>
      <c r="G22" s="1">
        <f t="shared" si="0"/>
        <v>6.4000000000000001E-2</v>
      </c>
      <c r="H22" s="21">
        <v>0.05</v>
      </c>
      <c r="I22" s="1">
        <f t="shared" si="1"/>
        <v>11.09375</v>
      </c>
      <c r="J22" s="11">
        <v>1.0920000000000001</v>
      </c>
      <c r="K22" s="1">
        <f t="shared" si="2"/>
        <v>0.65018315018315009</v>
      </c>
      <c r="L22" s="1">
        <f t="shared" si="3"/>
        <v>7.2129693223443212</v>
      </c>
      <c r="M22" s="1">
        <f t="shared" si="4"/>
        <v>1.2539856458508607</v>
      </c>
      <c r="N22" s="1">
        <f t="shared" si="5"/>
        <v>0.56619467882205876</v>
      </c>
      <c r="O22" s="2">
        <v>0.05</v>
      </c>
      <c r="P22" s="16" t="s">
        <v>27</v>
      </c>
      <c r="Q22" s="2">
        <f t="shared" si="6"/>
        <v>7.0422535211267609E-2</v>
      </c>
      <c r="R22" s="16" t="s">
        <v>27</v>
      </c>
    </row>
    <row r="23" spans="1:18" ht="15.75" x14ac:dyDescent="0.25">
      <c r="A23" s="6" t="s">
        <v>40</v>
      </c>
      <c r="H23" s="5">
        <f>AVERAGE(H2:H22)</f>
        <v>0.20380952380952386</v>
      </c>
      <c r="O23" s="5">
        <f>AVERAGE(O2:O22)</f>
        <v>0.20380952380952386</v>
      </c>
      <c r="Q23" s="5">
        <f>AVERAGE(Q2:Q22)</f>
        <v>6.642821630058228E-2</v>
      </c>
    </row>
    <row r="24" spans="1:18" x14ac:dyDescent="0.2">
      <c r="A24" s="7"/>
      <c r="B24" s="2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EKstoks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عماد محمد قواص</dc:creator>
  <cp:lastModifiedBy>عماد محمد قواص</cp:lastModifiedBy>
  <dcterms:created xsi:type="dcterms:W3CDTF">2025-11-04T08:42:07Z</dcterms:created>
  <dcterms:modified xsi:type="dcterms:W3CDTF">2025-11-06T07:32:59Z</dcterms:modified>
</cp:coreProperties>
</file>